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6" documentId="8_{0A70BF47-E48B-419F-9963-49B78668B0AA}" xr6:coauthVersionLast="47" xr6:coauthVersionMax="47" xr10:uidLastSave="{D8F2E89C-FDD1-4A75-B789-0845B5520367}"/>
  <bookViews>
    <workbookView xWindow="-110" yWindow="-110" windowWidth="25820" windowHeight="15620" xr2:uid="{00000000-000D-0000-FFFF-FFFF00000000}"/>
  </bookViews>
  <sheets>
    <sheet name="SERVICE QUOTE" sheetId="1" r:id="rId1"/>
    <sheet name="BIB - CALIBRATION RATES" sheetId="3" state="hidden"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3" i="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<sst xmlns="http://schemas.openxmlformats.org/spreadsheetml/2006/main" count="168" uniqueCount="101">
  <si>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</si>
  <si>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</si>
  <si>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</si>
  <si>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</si>
  <si>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</si>
  <si>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</si>
  <si>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</si>
  <si>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</si>
  <si>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</si>
  <si>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</si>
  <si>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</si>
  <si>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</si>
  <si>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</si>
  <si>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</si>
  <si>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</si>
  <si>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</si>
  <si>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</si>
  <si>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</si>
  <si>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</si>
  <si>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</si>
  <si>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</si>
  <si>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</si>
  <si>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</si>
  <si>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</si>
  <si>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</si>
  <si>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</si>
  <si>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</si>
  <si>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</si>
  <si>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</si>
  <si>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</si>
  <si>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</si>
  <si>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</si>
  <si>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</si>
  <si>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</si>
  <si>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</si>
  <si>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</si>
  <si>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</si>
  <si>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</si>
  <si>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</si>
  <si>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</si>
  <si>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</si>
  <si>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</si>
  <si>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</si>
  <si>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</si>
  <si>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</si>
  <si>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</si>
  <si>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</si>
  <si>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</si>
  <si>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</si>
  <si>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</si>
  <si>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</si>
  <si>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</si>
  <si>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</si>
  <si>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</si>
  <si>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</si>
  <si>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</si>
  <si>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</si>
  <si>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</si>
  <si>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</si>
  <si>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</si>
  <si>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</si>
  <si>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</si>
  <si>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</si>
  <si>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</si>
  <si>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</si>
  <si>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</si>
  <si>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</si>
  <si>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</si>
  <si>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</si>
  <si>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</si>
  <si>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</si>
  <si>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</si>
  <si>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</si>
  <si>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</si>
  <si>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</si>
  <si>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</si>
  <si>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</si>
  <si>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</si>
  <si>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</si>
  <si>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</si>
  <si>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</si>
  <si>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</si>
  <si>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</si>
  <si>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</si>
  <si>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</si>
  <si>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</si>
  <si>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</si>
  <si>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</si>
  <si>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</si>
  <si>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</si>
  <si>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</si>
  <si>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</si>
  <si>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</si>
  <si>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</si>
  <si>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Saputo Frederick</t>
  </si>
  <si>
    <t>QUOTE #:20260226</t>
  </si>
  <si>
    <t>Advanced Lubcrication</t>
  </si>
  <si>
    <t>Bensalem, PA</t>
  </si>
  <si>
    <t>Ben Salem, PA</t>
  </si>
  <si>
    <t>Columbus, OH</t>
  </si>
  <si>
    <t>Evaluate machine for alignment issues running Smurfit 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</si>
</sst>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O22" sqref="O22"/>
    </sheetView>
  </sheetViews>
  <sheetFormatPr defaultRowHeight="14.5" x14ac:dyDescent="0.35"/>
  <cols>
    <col min="1" max="1" width="11.7265625" customWidth="1"/>
    <col min="2" max="2" width="9.1796875" customWidth="1"/>
    <col min="4" max="4" width="11.7265625" customWidth="1"/>
    <col min="5" max="5" width="1.26953125" customWidth="1"/>
    <col min="8" max="8" width="9.1796875" customWidth="1"/>
    <col min="9" max="9" width="4.1796875" customWidth="1"/>
    <col min="10" max="10" width="14" customWidth="1"/>
  </cols>
  <sheetData>
    <row r="1" spans="1:10" x14ac:dyDescent="0.35">
      <c r="A1" s="126"/>
      <c r="B1" s="126"/>
      <c r="C1" s="126"/>
      <c r="E1" s="86"/>
      <c r="F1" s="102" t="s">
        <v>95</v>
      </c>
      <c r="G1" s="102"/>
      <c r="H1" s="102"/>
      <c r="I1" s="102"/>
      <c r="J1" s="102"/>
    </row>
    <row r="2" spans="1:10" x14ac:dyDescent="0.35">
      <c r="A2" s="126"/>
      <c r="B2" s="126"/>
      <c r="C2" s="126"/>
      <c r="D2" s="86"/>
      <c r="E2" s="86"/>
      <c r="F2" s="86"/>
      <c r="G2" s="86"/>
      <c r="H2" s="86"/>
      <c r="I2" s="86"/>
      <c r="J2" s="86"/>
    </row>
    <row r="3" spans="1:10" x14ac:dyDescent="0.35">
      <c r="A3" s="126"/>
      <c r="B3" s="126"/>
      <c r="C3" s="126"/>
      <c r="D3" s="86"/>
      <c r="E3" s="86"/>
      <c r="F3" s="86"/>
      <c r="G3" s="86"/>
      <c r="H3" s="86"/>
      <c r="I3" s="86"/>
      <c r="J3" s="86"/>
    </row>
    <row r="4" spans="1:10" x14ac:dyDescent="0.35">
      <c r="A4" s="154"/>
      <c r="B4" s="154"/>
      <c r="C4" s="154"/>
      <c r="D4" s="87"/>
      <c r="E4" s="87"/>
      <c r="F4" s="87"/>
      <c r="G4" s="87"/>
      <c r="H4" s="87"/>
      <c r="I4" s="87"/>
      <c r="J4" s="87"/>
    </row>
    <row r="5" spans="1:10" ht="16" x14ac:dyDescent="0.4">
      <c r="A5" s="136" t="s">
        <v>69</v>
      </c>
      <c r="B5" s="136"/>
      <c r="C5" s="136"/>
      <c r="D5" s="136"/>
      <c r="E5" s="136"/>
      <c r="F5" s="136"/>
      <c r="G5" s="136"/>
      <c r="H5" s="136"/>
      <c r="I5" s="136"/>
      <c r="J5" s="136"/>
    </row>
    <row r="6" spans="1:10" ht="3.75" customHeight="1" x14ac:dyDescent="0.35">
      <c r="A6" s="138"/>
      <c r="B6" s="138"/>
      <c r="C6" s="138"/>
      <c r="D6" s="138"/>
      <c r="E6" s="138"/>
      <c r="F6" s="138"/>
      <c r="G6" s="138"/>
      <c r="H6" s="138"/>
      <c r="I6" s="138"/>
      <c r="J6" s="138"/>
    </row>
    <row r="7" spans="1:10" x14ac:dyDescent="0.35">
      <c r="A7" s="139" t="s">
        <v>1</v>
      </c>
      <c r="B7" s="139"/>
      <c r="C7" s="141" t="s">
        <v>96</v>
      </c>
      <c r="D7" s="141"/>
      <c r="E7" s="141"/>
      <c r="F7" s="141"/>
      <c r="G7" s="1" t="s">
        <v>11</v>
      </c>
      <c r="H7" s="141" t="s">
        <v>97</v>
      </c>
      <c r="I7" s="141"/>
      <c r="J7" s="141"/>
    </row>
    <row r="8" spans="1:10" ht="3.75" customHeight="1" x14ac:dyDescent="0.35">
      <c r="A8" s="140"/>
      <c r="B8" s="140"/>
      <c r="C8" s="140"/>
      <c r="D8" s="140"/>
      <c r="E8" s="140"/>
      <c r="F8" s="140"/>
      <c r="G8" s="140"/>
      <c r="H8" s="140"/>
      <c r="I8" s="140"/>
      <c r="J8" s="140"/>
    </row>
    <row r="9" spans="1:10" x14ac:dyDescent="0.35">
      <c r="A9" s="137" t="s">
        <v>0</v>
      </c>
      <c r="B9" s="137"/>
      <c r="C9" s="141" t="s">
        <v>100</v>
      </c>
      <c r="D9" s="141"/>
      <c r="E9" s="141"/>
      <c r="F9" s="141"/>
      <c r="G9" s="141"/>
      <c r="H9" s="141"/>
      <c r="I9" s="141"/>
      <c r="J9" s="141"/>
    </row>
    <row r="10" spans="1:10" ht="3.75" customHeight="1" x14ac:dyDescent="0.35">
      <c r="A10" s="126"/>
      <c r="B10" s="126"/>
      <c r="C10" s="126"/>
      <c r="D10" s="126"/>
      <c r="E10" s="126"/>
      <c r="F10" s="126"/>
      <c r="G10" s="126"/>
      <c r="H10" s="126"/>
      <c r="I10" s="126"/>
      <c r="J10" s="126"/>
    </row>
    <row r="11" spans="1:10" ht="11.25" customHeight="1" x14ac:dyDescent="0.35">
      <c r="A11" s="63"/>
      <c r="B11" s="64"/>
      <c r="C11" s="64"/>
      <c r="D11" s="127" t="s">
        <v>31</v>
      </c>
      <c r="E11" s="127"/>
      <c r="F11" s="127"/>
      <c r="G11" s="127"/>
      <c r="H11" s="64"/>
      <c r="I11" s="64"/>
      <c r="J11" s="65"/>
    </row>
    <row r="12" spans="1:10" ht="11.25" customHeight="1" x14ac:dyDescent="0.35">
      <c r="A12" s="128" t="s">
        <v>70</v>
      </c>
      <c r="B12" s="129"/>
      <c r="C12" s="130" t="s">
        <v>78</v>
      </c>
      <c r="D12" s="130"/>
      <c r="E12" s="66"/>
      <c r="F12" s="133" t="s">
        <v>32</v>
      </c>
      <c r="G12" s="133"/>
      <c r="H12" s="133"/>
      <c r="I12" s="133"/>
      <c r="J12" s="134"/>
    </row>
    <row r="13" spans="1:10" ht="11.25" customHeight="1" x14ac:dyDescent="0.35">
      <c r="A13" s="121" t="s">
        <v>2</v>
      </c>
      <c r="B13" s="122"/>
      <c r="C13" s="132" t="s">
        <v>79</v>
      </c>
      <c r="D13" s="132"/>
      <c r="E13" s="69"/>
      <c r="F13" s="115" t="s">
        <v>84</v>
      </c>
      <c r="G13" s="115"/>
      <c r="H13" s="115"/>
      <c r="I13" s="115"/>
      <c r="J13" s="116"/>
    </row>
    <row r="14" spans="1:10" ht="11.25" customHeight="1" x14ac:dyDescent="0.35">
      <c r="A14" s="121" t="s">
        <v>3</v>
      </c>
      <c r="B14" s="122"/>
      <c r="C14" s="132" t="s">
        <v>80</v>
      </c>
      <c r="D14" s="132"/>
      <c r="E14" s="69"/>
      <c r="F14" s="115" t="s">
        <v>85</v>
      </c>
      <c r="G14" s="115"/>
      <c r="H14" s="115"/>
      <c r="I14" s="115"/>
      <c r="J14" s="116"/>
    </row>
    <row r="15" spans="1:10" ht="11.25" customHeight="1" x14ac:dyDescent="0.35">
      <c r="A15" s="121" t="s">
        <v>4</v>
      </c>
      <c r="B15" s="122"/>
      <c r="C15" s="132" t="s">
        <v>81</v>
      </c>
      <c r="D15" s="132"/>
      <c r="E15" s="69"/>
      <c r="F15" s="115" t="s">
        <v>33</v>
      </c>
      <c r="G15" s="115"/>
      <c r="H15" s="115"/>
      <c r="I15" s="115"/>
      <c r="J15" s="116"/>
    </row>
    <row r="16" spans="1:10" ht="11.25" customHeight="1" x14ac:dyDescent="0.35">
      <c r="A16" s="67"/>
      <c r="B16" s="68" t="s">
        <v>34</v>
      </c>
      <c r="C16" s="132" t="s">
        <v>82</v>
      </c>
      <c r="D16" s="132"/>
      <c r="E16" s="69"/>
      <c r="F16" s="115" t="s">
        <v>36</v>
      </c>
      <c r="G16" s="115"/>
      <c r="H16" s="115"/>
      <c r="I16" s="115"/>
      <c r="J16" s="116"/>
    </row>
    <row r="17" spans="1:10" ht="11.25" customHeight="1" x14ac:dyDescent="0.35">
      <c r="A17" s="121" t="s">
        <v>35</v>
      </c>
      <c r="B17" s="122"/>
      <c r="C17" s="132" t="s">
        <v>83</v>
      </c>
      <c r="D17" s="132"/>
      <c r="E17" s="69"/>
      <c r="F17" s="115" t="s">
        <v>37</v>
      </c>
      <c r="G17" s="115"/>
      <c r="H17" s="115"/>
      <c r="I17" s="115"/>
      <c r="J17" s="116"/>
    </row>
    <row r="18" spans="1:10" ht="11.25" customHeight="1" x14ac:dyDescent="0.35">
      <c r="A18" s="117" t="s">
        <v>5</v>
      </c>
      <c r="B18" s="118"/>
      <c r="C18" s="150" t="s">
        <v>9</v>
      </c>
      <c r="D18" s="150"/>
      <c r="E18" s="47"/>
      <c r="F18" s="119" t="s">
        <v>10</v>
      </c>
      <c r="G18" s="119"/>
      <c r="H18" s="119"/>
      <c r="I18" s="119"/>
      <c r="J18" s="120"/>
    </row>
    <row r="19" spans="1:10" ht="3.65" customHeight="1" x14ac:dyDescent="0.35">
      <c r="A19" s="135"/>
      <c r="B19" s="135"/>
      <c r="C19" s="135"/>
      <c r="D19" s="135"/>
      <c r="E19" s="135"/>
      <c r="F19" s="135"/>
      <c r="G19" s="135"/>
      <c r="H19" s="135"/>
      <c r="I19" s="135"/>
      <c r="J19" s="135"/>
    </row>
    <row r="20" spans="1:10" ht="10.9" customHeight="1" x14ac:dyDescent="0.35">
      <c r="A20" s="105" t="s">
        <v>4</v>
      </c>
      <c r="B20" s="106"/>
      <c r="C20" s="56"/>
      <c r="D20" s="56"/>
      <c r="E20" s="56"/>
      <c r="F20" s="56"/>
      <c r="G20" s="56"/>
      <c r="H20" s="56"/>
      <c r="I20" s="56"/>
      <c r="J20" s="57"/>
    </row>
    <row r="21" spans="1:10" x14ac:dyDescent="0.35">
      <c r="A21" s="77">
        <v>46083</v>
      </c>
      <c r="B21" s="76" t="s">
        <v>7</v>
      </c>
      <c r="C21" s="144" t="s">
        <v>99</v>
      </c>
      <c r="D21" s="145"/>
      <c r="E21" s="146"/>
      <c r="F21" s="48">
        <v>8</v>
      </c>
      <c r="G21" s="70" t="s">
        <v>8</v>
      </c>
      <c r="H21" s="71">
        <v>181</v>
      </c>
      <c r="I21" s="70" t="s">
        <v>12</v>
      </c>
      <c r="J21" s="49">
        <f>SUM(H21*F21)</f>
        <v>1448</v>
      </c>
    </row>
    <row r="22" spans="1:10" x14ac:dyDescent="0.35">
      <c r="A22" s="78"/>
      <c r="B22" s="26" t="s">
        <v>6</v>
      </c>
      <c r="C22" s="147" t="s">
        <v>98</v>
      </c>
      <c r="D22" s="148"/>
      <c r="E22" s="149"/>
      <c r="F22" s="50"/>
      <c r="G22" s="27" t="s">
        <v>8</v>
      </c>
      <c r="H22" s="72">
        <v>272</v>
      </c>
      <c r="I22" s="27" t="s">
        <v>12</v>
      </c>
      <c r="J22" s="51">
        <f t="shared" ref="J22" si="0">SUM(H22*F22)</f>
        <v>0</v>
      </c>
    </row>
    <row r="23" spans="1:10" x14ac:dyDescent="0.35">
      <c r="A23" s="77">
        <v>46085</v>
      </c>
      <c r="B23" s="76" t="s">
        <v>7</v>
      </c>
      <c r="C23" s="144" t="str">
        <f>C22</f>
        <v>Ben Salem, PA</v>
      </c>
      <c r="D23" s="145"/>
      <c r="E23" s="146"/>
      <c r="F23" s="48">
        <v>8</v>
      </c>
      <c r="G23" s="70" t="s">
        <v>8</v>
      </c>
      <c r="H23" s="71">
        <v>181</v>
      </c>
      <c r="I23" s="70" t="s">
        <v>12</v>
      </c>
      <c r="J23" s="49">
        <f>SUM(H23*F23)</f>
        <v>1448</v>
      </c>
    </row>
    <row r="24" spans="1:10" x14ac:dyDescent="0.35">
      <c r="A24" s="79"/>
      <c r="B24" s="26" t="s">
        <v>6</v>
      </c>
      <c r="C24" s="147" t="s">
        <v>99</v>
      </c>
      <c r="D24" s="148"/>
      <c r="E24" s="149"/>
      <c r="F24" s="50"/>
      <c r="G24" s="27" t="s">
        <v>8</v>
      </c>
      <c r="H24" s="72">
        <v>272</v>
      </c>
      <c r="I24" s="27" t="s">
        <v>12</v>
      </c>
      <c r="J24" s="51">
        <f>SUM(H24*F24)</f>
        <v>0</v>
      </c>
    </row>
    <row r="25" spans="1:10" ht="10.9" customHeight="1" x14ac:dyDescent="0.35">
      <c r="A25" s="29"/>
      <c r="B25" s="30"/>
      <c r="C25" s="35"/>
      <c r="D25" s="30" t="s">
        <v>29</v>
      </c>
      <c r="E25" s="30"/>
      <c r="F25" s="31">
        <f>SUM(F21:F24)</f>
        <v>16</v>
      </c>
      <c r="G25" s="131" t="s">
        <v>13</v>
      </c>
      <c r="H25" s="131"/>
      <c r="I25" s="32" t="s">
        <v>12</v>
      </c>
      <c r="J25" s="33">
        <f>SUM(J21:J24)</f>
        <v>2896</v>
      </c>
    </row>
    <row r="26" spans="1:10" ht="3.65" customHeight="1" x14ac:dyDescent="0.35">
      <c r="A26" s="151"/>
      <c r="B26" s="151"/>
      <c r="C26" s="151"/>
      <c r="D26" s="151"/>
      <c r="E26" s="151"/>
      <c r="F26" s="151"/>
      <c r="G26" s="151"/>
      <c r="H26" s="151"/>
      <c r="I26" s="151"/>
      <c r="J26" s="151"/>
    </row>
    <row r="27" spans="1:10" ht="10.9" customHeight="1" x14ac:dyDescent="0.35">
      <c r="A27" s="58" t="s">
        <v>14</v>
      </c>
      <c r="B27" s="56"/>
      <c r="C27" s="56"/>
      <c r="D27" s="56"/>
      <c r="E27" s="56"/>
      <c r="F27" s="56"/>
      <c r="G27" s="56"/>
      <c r="H27" s="56"/>
      <c r="I27" s="56"/>
      <c r="J27" s="57"/>
    </row>
    <row r="28" spans="1:10" x14ac:dyDescent="0.35">
      <c r="A28" s="80">
        <v>46082</v>
      </c>
      <c r="B28" s="143" t="s">
        <v>15</v>
      </c>
      <c r="C28" s="143"/>
      <c r="D28" s="36" t="s">
        <v>24</v>
      </c>
      <c r="E28" s="39"/>
      <c r="F28" s="40"/>
      <c r="G28" s="36" t="s">
        <v>8</v>
      </c>
      <c r="H28" s="73">
        <v>416</v>
      </c>
      <c r="I28" s="36" t="s">
        <v>12</v>
      </c>
      <c r="J28" s="41">
        <f>H28*F28</f>
        <v>0</v>
      </c>
    </row>
    <row r="29" spans="1:10" x14ac:dyDescent="0.35">
      <c r="A29" s="81">
        <f>A28+1</f>
        <v>46083</v>
      </c>
      <c r="B29" s="142" t="s">
        <v>21</v>
      </c>
      <c r="C29" s="142"/>
      <c r="D29" s="28" t="s">
        <v>22</v>
      </c>
      <c r="E29" s="42"/>
      <c r="F29" s="43"/>
      <c r="G29" s="28" t="s">
        <v>8</v>
      </c>
      <c r="H29" s="74">
        <v>208</v>
      </c>
      <c r="I29" s="28" t="s">
        <v>12</v>
      </c>
      <c r="J29" s="44">
        <f t="shared" ref="J29:J39" si="1">H29*F29</f>
        <v>0</v>
      </c>
    </row>
    <row r="30" spans="1:10" x14ac:dyDescent="0.35">
      <c r="A30" s="82"/>
      <c r="B30" s="143"/>
      <c r="C30" s="143"/>
      <c r="D30" s="36" t="s">
        <v>23</v>
      </c>
      <c r="E30" s="39"/>
      <c r="F30" s="40"/>
      <c r="G30" s="36" t="s">
        <v>8</v>
      </c>
      <c r="H30" s="73">
        <v>312</v>
      </c>
      <c r="I30" s="36" t="s">
        <v>12</v>
      </c>
      <c r="J30" s="41">
        <f t="shared" si="1"/>
        <v>0</v>
      </c>
    </row>
    <row r="31" spans="1:10" x14ac:dyDescent="0.35">
      <c r="A31" s="81">
        <f>A28+2</f>
        <v>46084</v>
      </c>
      <c r="B31" s="142" t="s">
        <v>16</v>
      </c>
      <c r="C31" s="142"/>
      <c r="D31" s="28" t="s">
        <v>22</v>
      </c>
      <c r="E31" s="42"/>
      <c r="F31" s="43">
        <v>8</v>
      </c>
      <c r="G31" s="28" t="s">
        <v>8</v>
      </c>
      <c r="H31" s="74">
        <v>208</v>
      </c>
      <c r="I31" s="28" t="s">
        <v>12</v>
      </c>
      <c r="J31" s="44">
        <v>0</v>
      </c>
    </row>
    <row r="32" spans="1:10" x14ac:dyDescent="0.35">
      <c r="A32" s="82"/>
      <c r="B32" s="143"/>
      <c r="C32" s="143"/>
      <c r="D32" s="36" t="s">
        <v>23</v>
      </c>
      <c r="E32" s="39"/>
      <c r="F32" s="40"/>
      <c r="G32" s="36" t="s">
        <v>8</v>
      </c>
      <c r="H32" s="73">
        <v>312</v>
      </c>
      <c r="I32" s="36" t="s">
        <v>12</v>
      </c>
      <c r="J32" s="41">
        <f t="shared" si="1"/>
        <v>0</v>
      </c>
    </row>
    <row r="33" spans="1:10" x14ac:dyDescent="0.35">
      <c r="A33" s="83">
        <f>A28+3</f>
        <v>46085</v>
      </c>
      <c r="B33" s="161" t="s">
        <v>17</v>
      </c>
      <c r="C33" s="161"/>
      <c r="D33" s="75" t="s">
        <v>22</v>
      </c>
      <c r="E33" s="45"/>
      <c r="F33" s="46"/>
      <c r="G33" s="75" t="s">
        <v>8</v>
      </c>
      <c r="H33" s="74">
        <v>208</v>
      </c>
      <c r="I33" s="75" t="s">
        <v>12</v>
      </c>
      <c r="J33" s="44">
        <f t="shared" si="1"/>
        <v>0</v>
      </c>
    </row>
    <row r="34" spans="1:10" x14ac:dyDescent="0.35">
      <c r="A34" s="82"/>
      <c r="B34" s="143"/>
      <c r="C34" s="143"/>
      <c r="D34" s="36" t="s">
        <v>23</v>
      </c>
      <c r="E34" s="39"/>
      <c r="F34" s="40"/>
      <c r="G34" s="36" t="s">
        <v>8</v>
      </c>
      <c r="H34" s="73">
        <v>312</v>
      </c>
      <c r="I34" s="36" t="s">
        <v>12</v>
      </c>
      <c r="J34" s="41">
        <f t="shared" si="1"/>
        <v>0</v>
      </c>
    </row>
    <row r="35" spans="1:10" x14ac:dyDescent="0.35">
      <c r="A35" s="81">
        <f>A28+4</f>
        <v>46086</v>
      </c>
      <c r="B35" s="142" t="s">
        <v>18</v>
      </c>
      <c r="C35" s="142"/>
      <c r="D35" s="28" t="s">
        <v>22</v>
      </c>
      <c r="E35" s="42"/>
      <c r="F35" s="43"/>
      <c r="G35" s="28" t="s">
        <v>8</v>
      </c>
      <c r="H35" s="74">
        <v>208</v>
      </c>
      <c r="I35" s="28" t="s">
        <v>12</v>
      </c>
      <c r="J35" s="44">
        <f t="shared" si="1"/>
        <v>0</v>
      </c>
    </row>
    <row r="36" spans="1:10" x14ac:dyDescent="0.35">
      <c r="A36" s="82"/>
      <c r="B36" s="143"/>
      <c r="C36" s="143"/>
      <c r="D36" s="36" t="s">
        <v>23</v>
      </c>
      <c r="E36" s="39"/>
      <c r="F36" s="40"/>
      <c r="G36" s="36" t="s">
        <v>8</v>
      </c>
      <c r="H36" s="73">
        <v>312</v>
      </c>
      <c r="I36" s="36" t="s">
        <v>12</v>
      </c>
      <c r="J36" s="41">
        <f t="shared" si="1"/>
        <v>0</v>
      </c>
    </row>
    <row r="37" spans="1:10" x14ac:dyDescent="0.35">
      <c r="A37" s="81">
        <f>A28+5</f>
        <v>46087</v>
      </c>
      <c r="B37" s="142" t="s">
        <v>19</v>
      </c>
      <c r="C37" s="142"/>
      <c r="D37" s="28" t="s">
        <v>22</v>
      </c>
      <c r="E37" s="42"/>
      <c r="F37" s="43"/>
      <c r="G37" s="28" t="s">
        <v>8</v>
      </c>
      <c r="H37" s="74">
        <v>208</v>
      </c>
      <c r="I37" s="28" t="s">
        <v>12</v>
      </c>
      <c r="J37" s="44">
        <f t="shared" si="1"/>
        <v>0</v>
      </c>
    </row>
    <row r="38" spans="1:10" x14ac:dyDescent="0.35">
      <c r="A38" s="82"/>
      <c r="B38" s="143"/>
      <c r="C38" s="143"/>
      <c r="D38" s="36" t="s">
        <v>23</v>
      </c>
      <c r="E38" s="39"/>
      <c r="F38" s="40"/>
      <c r="G38" s="36" t="s">
        <v>8</v>
      </c>
      <c r="H38" s="73">
        <v>312</v>
      </c>
      <c r="I38" s="36" t="s">
        <v>12</v>
      </c>
      <c r="J38" s="41">
        <f t="shared" si="1"/>
        <v>0</v>
      </c>
    </row>
    <row r="39" spans="1:10" x14ac:dyDescent="0.35">
      <c r="A39" s="81">
        <f>A28+6</f>
        <v>46088</v>
      </c>
      <c r="B39" s="142" t="s">
        <v>20</v>
      </c>
      <c r="C39" s="142"/>
      <c r="D39" s="28" t="s">
        <v>23</v>
      </c>
      <c r="E39" s="42"/>
      <c r="F39" s="43"/>
      <c r="G39" s="28" t="s">
        <v>8</v>
      </c>
      <c r="H39" s="74">
        <v>416</v>
      </c>
      <c r="I39" s="28" t="s">
        <v>12</v>
      </c>
      <c r="J39" s="44">
        <f t="shared" si="1"/>
        <v>0</v>
      </c>
    </row>
    <row r="40" spans="1:10" ht="10.9" customHeight="1" x14ac:dyDescent="0.35">
      <c r="A40" s="34"/>
      <c r="B40" s="35"/>
      <c r="C40" s="35"/>
      <c r="D40" s="30" t="s">
        <v>29</v>
      </c>
      <c r="E40" s="35"/>
      <c r="F40" s="31">
        <f>SUM(F28:F39)</f>
        <v>8</v>
      </c>
      <c r="G40" s="131" t="s">
        <v>25</v>
      </c>
      <c r="H40" s="131"/>
      <c r="I40" s="36" t="s">
        <v>12</v>
      </c>
      <c r="J40" s="37">
        <f>SUM(J28:J39)</f>
        <v>0</v>
      </c>
    </row>
    <row r="41" spans="1:10" ht="3.65" customHeight="1" x14ac:dyDescent="0.35">
      <c r="A41" s="124"/>
      <c r="B41" s="124"/>
      <c r="C41" s="124"/>
      <c r="D41" s="124"/>
      <c r="E41" s="124"/>
      <c r="F41" s="124"/>
      <c r="G41" s="124"/>
      <c r="H41" s="124"/>
      <c r="I41" s="124"/>
      <c r="J41" s="124"/>
    </row>
    <row r="42" spans="1:10" ht="10.9" customHeight="1" x14ac:dyDescent="0.35">
      <c r="A42" s="105" t="s">
        <v>65</v>
      </c>
      <c r="B42" s="106"/>
      <c r="C42" s="106"/>
      <c r="D42" s="106"/>
      <c r="E42" s="106"/>
      <c r="F42" s="106"/>
      <c r="G42" s="106"/>
      <c r="H42" s="106"/>
      <c r="I42" s="106"/>
      <c r="J42" s="107"/>
    </row>
    <row r="43" spans="1:10" ht="10.9" customHeight="1" x14ac:dyDescent="0.35">
      <c r="A43" s="108"/>
      <c r="B43" s="109"/>
      <c r="C43" s="109"/>
      <c r="D43" s="36" t="s">
        <v>22</v>
      </c>
      <c r="E43" s="52"/>
      <c r="F43" s="40"/>
      <c r="G43" s="36" t="s">
        <v>8</v>
      </c>
      <c r="H43" s="73">
        <v>208</v>
      </c>
      <c r="I43" s="36" t="s">
        <v>12</v>
      </c>
      <c r="J43" s="37">
        <f>SUM(H43*F43)</f>
        <v>0</v>
      </c>
    </row>
    <row r="44" spans="1:10" ht="3.65" customHeight="1" x14ac:dyDescent="0.35">
      <c r="A44" s="112"/>
      <c r="B44" s="113"/>
      <c r="C44" s="113"/>
      <c r="D44" s="113"/>
      <c r="E44" s="113"/>
      <c r="F44" s="113"/>
      <c r="G44" s="113"/>
      <c r="H44" s="113"/>
      <c r="I44" s="113"/>
      <c r="J44" s="114"/>
    </row>
    <row r="45" spans="1:10" ht="10.9" customHeight="1" x14ac:dyDescent="0.35">
      <c r="A45" s="58" t="s">
        <v>5</v>
      </c>
      <c r="B45" s="59"/>
      <c r="C45" s="59"/>
      <c r="D45" s="59"/>
      <c r="E45" s="59"/>
      <c r="F45" s="59"/>
      <c r="G45" s="59"/>
      <c r="H45" s="59"/>
      <c r="I45" s="59"/>
      <c r="J45" s="60"/>
    </row>
    <row r="46" spans="1:10" ht="10.9" customHeight="1" x14ac:dyDescent="0.35">
      <c r="A46" s="152" t="s">
        <v>27</v>
      </c>
      <c r="B46" s="153"/>
      <c r="C46" s="153"/>
      <c r="D46" s="153"/>
      <c r="E46" s="153"/>
      <c r="F46" s="153"/>
      <c r="G46" s="131" t="s">
        <v>26</v>
      </c>
      <c r="H46" s="131"/>
      <c r="I46" s="36" t="s">
        <v>12</v>
      </c>
      <c r="J46" s="38">
        <v>1500</v>
      </c>
    </row>
    <row r="47" spans="1:10" ht="3.65" customHeight="1" x14ac:dyDescent="0.35">
      <c r="A47" s="123"/>
      <c r="B47" s="124"/>
      <c r="C47" s="124"/>
      <c r="D47" s="124"/>
      <c r="E47" s="124"/>
      <c r="F47" s="124"/>
      <c r="G47" s="124"/>
      <c r="H47" s="124"/>
      <c r="I47" s="124"/>
      <c r="J47" s="125"/>
    </row>
    <row r="48" spans="1:10" x14ac:dyDescent="0.35">
      <c r="A48" s="157" t="s">
        <v>30</v>
      </c>
      <c r="B48" s="158"/>
      <c r="C48" s="158"/>
      <c r="D48" s="158"/>
      <c r="E48" s="126"/>
      <c r="F48" s="159" t="s">
        <v>13</v>
      </c>
      <c r="G48" s="160"/>
      <c r="H48" s="160"/>
      <c r="I48" s="61" t="s">
        <v>12</v>
      </c>
      <c r="J48" s="37">
        <f>SUM(J25)</f>
        <v>2896</v>
      </c>
    </row>
    <row r="49" spans="1:10" ht="14.5" customHeight="1" x14ac:dyDescent="0.35">
      <c r="A49" s="100" t="s">
        <v>72</v>
      </c>
      <c r="B49" s="100"/>
      <c r="C49" s="100"/>
      <c r="D49" s="100"/>
      <c r="E49" s="126"/>
      <c r="F49" s="110" t="s">
        <v>25</v>
      </c>
      <c r="G49" s="111"/>
      <c r="H49" s="111"/>
      <c r="I49" s="62" t="s">
        <v>12</v>
      </c>
      <c r="J49" s="53">
        <f>SUM(J40)</f>
        <v>0</v>
      </c>
    </row>
    <row r="50" spans="1:10" x14ac:dyDescent="0.35">
      <c r="A50" s="100"/>
      <c r="B50" s="100"/>
      <c r="C50" s="100"/>
      <c r="D50" s="100"/>
      <c r="E50" s="126"/>
      <c r="F50" s="110" t="s">
        <v>26</v>
      </c>
      <c r="G50" s="111"/>
      <c r="H50" s="111"/>
      <c r="I50" s="62" t="s">
        <v>12</v>
      </c>
      <c r="J50" s="53">
        <f>SUM(J46)</f>
        <v>1500</v>
      </c>
    </row>
    <row r="51" spans="1:10" x14ac:dyDescent="0.35">
      <c r="A51" s="100"/>
      <c r="B51" s="100"/>
      <c r="C51" s="100"/>
      <c r="D51" s="100"/>
      <c r="E51" s="126"/>
      <c r="F51" s="110" t="s">
        <v>66</v>
      </c>
      <c r="G51" s="111"/>
      <c r="H51" s="111"/>
      <c r="I51" s="62" t="s">
        <v>12</v>
      </c>
      <c r="J51" s="53">
        <f>SUM(J43)</f>
        <v>0</v>
      </c>
    </row>
    <row r="52" spans="1:10" x14ac:dyDescent="0.35">
      <c r="A52" s="100"/>
      <c r="B52" s="100"/>
      <c r="C52" s="100"/>
      <c r="D52" s="100"/>
      <c r="E52" s="126"/>
      <c r="F52" s="110" t="s">
        <v>71</v>
      </c>
      <c r="G52" s="111"/>
      <c r="H52" s="111"/>
      <c r="I52" s="62" t="s">
        <v>12</v>
      </c>
      <c r="J52" s="53">
        <v>0</v>
      </c>
    </row>
    <row r="53" spans="1:10" ht="15" customHeight="1" x14ac:dyDescent="0.35">
      <c r="A53" s="100"/>
      <c r="B53" s="100"/>
      <c r="C53" s="100"/>
      <c r="D53" s="100"/>
      <c r="E53" s="126"/>
      <c r="F53" s="110" t="s">
        <v>73</v>
      </c>
      <c r="G53" s="111"/>
      <c r="H53" s="111"/>
      <c r="I53" s="62" t="s">
        <v>12</v>
      </c>
      <c r="J53" s="53">
        <v>0</v>
      </c>
    </row>
    <row r="54" spans="1:10" ht="15" customHeight="1" x14ac:dyDescent="0.35">
      <c r="A54" s="100"/>
      <c r="B54" s="100"/>
      <c r="C54" s="100"/>
      <c r="D54" s="100"/>
      <c r="E54" s="126"/>
      <c r="G54" s="103" t="s">
        <v>28</v>
      </c>
      <c r="H54" s="104"/>
      <c r="I54" s="54" t="s">
        <v>12</v>
      </c>
      <c r="J54" s="55">
        <f>SUM(I48:J53)</f>
        <v>4396</v>
      </c>
    </row>
    <row r="55" spans="1:10" x14ac:dyDescent="0.35">
      <c r="A55" s="85"/>
      <c r="B55" s="85"/>
      <c r="C55" s="85"/>
      <c r="D55" s="85"/>
      <c r="E55" s="16"/>
      <c r="F55" s="155" t="s">
        <v>67</v>
      </c>
      <c r="G55" s="156"/>
      <c r="H55" s="156"/>
      <c r="I55" s="156"/>
      <c r="J55" s="84">
        <v>46079</v>
      </c>
    </row>
    <row r="56" spans="1:10" x14ac:dyDescent="0.35">
      <c r="A56" s="101" t="s">
        <v>93</v>
      </c>
      <c r="B56" s="101"/>
      <c r="C56" s="101"/>
      <c r="D56" s="101"/>
      <c r="E56" s="101"/>
      <c r="F56" s="101"/>
      <c r="G56" s="101"/>
      <c r="H56" s="101"/>
      <c r="I56" s="101"/>
      <c r="J56" s="101"/>
    </row>
    <row r="57" spans="1:10" x14ac:dyDescent="0.35">
      <c r="A57" s="101"/>
      <c r="B57" s="101"/>
      <c r="C57" s="101"/>
      <c r="D57" s="101"/>
      <c r="E57" s="101"/>
      <c r="F57" s="101"/>
      <c r="G57" s="101"/>
      <c r="H57" s="101"/>
      <c r="I57" s="101"/>
      <c r="J57" s="101"/>
    </row>
    <row r="58" spans="1:10" x14ac:dyDescent="0.35">
      <c r="A58" s="101"/>
      <c r="B58" s="101"/>
      <c r="C58" s="101"/>
      <c r="D58" s="101"/>
      <c r="E58" s="101"/>
      <c r="F58" s="101"/>
      <c r="G58" s="101"/>
      <c r="H58" s="101"/>
      <c r="I58" s="101"/>
      <c r="J58" s="101"/>
    </row>
    <row r="59" spans="1:10" x14ac:dyDescent="0.35">
      <c r="A59" s="3"/>
      <c r="B59" s="3"/>
      <c r="C59" s="3"/>
      <c r="D59" s="3"/>
      <c r="E59" s="2"/>
    </row>
    <row r="60" spans="1:10" x14ac:dyDescent="0.35">
      <c r="A60" s="3"/>
      <c r="B60" s="3"/>
      <c r="C60" s="3"/>
      <c r="D60" s="3"/>
      <c r="E60" s="2"/>
    </row>
    <row r="61" spans="1:10" x14ac:dyDescent="0.35">
      <c r="A61" s="3"/>
      <c r="B61" s="3"/>
      <c r="C61" s="3"/>
      <c r="D61" s="3"/>
      <c r="E61" s="2"/>
    </row>
    <row r="62" spans="1:10" x14ac:dyDescent="0.3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4.5" x14ac:dyDescent="0.35"/>
  <cols>
    <col min="1" max="1" width="38" customWidth="1"/>
    <col min="2" max="2" width="12" customWidth="1"/>
    <col min="3" max="3" width="8.7265625" customWidth="1"/>
    <col min="4" max="4" width="27.7265625" customWidth="1"/>
  </cols>
  <sheetData>
    <row r="5" spans="1:4" ht="15" x14ac:dyDescent="0.35">
      <c r="A5" s="4" t="s">
        <v>74</v>
      </c>
    </row>
    <row r="6" spans="1:4" ht="15" x14ac:dyDescent="0.35">
      <c r="A6" s="4"/>
    </row>
    <row r="7" spans="1:4" x14ac:dyDescent="0.35">
      <c r="A7" s="5" t="s">
        <v>86</v>
      </c>
    </row>
    <row r="8" spans="1:4" ht="15" thickBot="1" x14ac:dyDescent="0.4">
      <c r="A8" s="5"/>
    </row>
    <row r="9" spans="1:4" x14ac:dyDescent="0.35">
      <c r="A9" s="88"/>
      <c r="B9" s="89"/>
      <c r="C9" s="89"/>
      <c r="D9" s="89"/>
    </row>
    <row r="10" spans="1:4" ht="14.5" customHeight="1" x14ac:dyDescent="0.35">
      <c r="A10" s="90" t="s">
        <v>38</v>
      </c>
      <c r="B10" s="91" t="s">
        <v>39</v>
      </c>
      <c r="C10" s="91" t="s">
        <v>41</v>
      </c>
      <c r="D10" s="91" t="s">
        <v>42</v>
      </c>
    </row>
    <row r="11" spans="1:4" ht="15" thickBot="1" x14ac:dyDescent="0.4">
      <c r="A11" s="92"/>
      <c r="B11" s="93" t="s">
        <v>40</v>
      </c>
      <c r="C11" s="94"/>
      <c r="D11" s="94"/>
    </row>
    <row r="12" spans="1:4" ht="12.65" customHeight="1" x14ac:dyDescent="0.35">
      <c r="A12" s="6"/>
      <c r="B12" s="170" t="s">
        <v>87</v>
      </c>
      <c r="C12" s="170">
        <v>4</v>
      </c>
      <c r="D12" s="9" t="s">
        <v>44</v>
      </c>
    </row>
    <row r="13" spans="1:4" ht="12.65" customHeight="1" x14ac:dyDescent="0.35">
      <c r="A13" s="6" t="s">
        <v>43</v>
      </c>
      <c r="B13" s="171"/>
      <c r="C13" s="171"/>
      <c r="D13" s="21" t="s">
        <v>45</v>
      </c>
    </row>
    <row r="14" spans="1:4" ht="12.65" customHeight="1" thickBot="1" x14ac:dyDescent="0.4">
      <c r="A14" s="7"/>
      <c r="B14" s="172"/>
      <c r="C14" s="172"/>
      <c r="D14" s="10" t="s">
        <v>46</v>
      </c>
    </row>
    <row r="15" spans="1:4" ht="12.65" customHeight="1" x14ac:dyDescent="0.35">
      <c r="A15" s="8"/>
      <c r="B15" s="170" t="s">
        <v>88</v>
      </c>
      <c r="C15" s="170">
        <v>4</v>
      </c>
      <c r="D15" s="9" t="s">
        <v>48</v>
      </c>
    </row>
    <row r="16" spans="1:4" ht="12.65" customHeight="1" x14ac:dyDescent="0.35">
      <c r="A16" s="6" t="s">
        <v>47</v>
      </c>
      <c r="B16" s="171"/>
      <c r="C16" s="171"/>
      <c r="D16" s="9" t="s">
        <v>49</v>
      </c>
    </row>
    <row r="17" spans="1:4" ht="12.65" customHeight="1" thickBot="1" x14ac:dyDescent="0.4">
      <c r="A17" s="7"/>
      <c r="B17" s="172"/>
      <c r="C17" s="172"/>
      <c r="D17" s="10" t="s">
        <v>50</v>
      </c>
    </row>
    <row r="18" spans="1:4" x14ac:dyDescent="0.35">
      <c r="A18" s="95"/>
      <c r="B18" s="91"/>
      <c r="C18" s="91"/>
      <c r="D18" s="91"/>
    </row>
    <row r="19" spans="1:4" ht="12" customHeight="1" x14ac:dyDescent="0.35">
      <c r="A19" s="90" t="s">
        <v>51</v>
      </c>
      <c r="B19" s="91" t="s">
        <v>39</v>
      </c>
      <c r="C19" s="91" t="s">
        <v>41</v>
      </c>
      <c r="D19" s="91" t="s">
        <v>42</v>
      </c>
    </row>
    <row r="20" spans="1:4" ht="16.149999999999999" customHeight="1" thickBot="1" x14ac:dyDescent="0.4">
      <c r="A20" s="96"/>
      <c r="B20" s="93" t="s">
        <v>40</v>
      </c>
      <c r="C20" s="97"/>
      <c r="D20" s="97"/>
    </row>
    <row r="21" spans="1:4" ht="12.65" customHeight="1" x14ac:dyDescent="0.35">
      <c r="A21" s="11"/>
      <c r="B21" s="170" t="s">
        <v>89</v>
      </c>
      <c r="C21" s="170">
        <v>8</v>
      </c>
      <c r="D21" s="9" t="s">
        <v>53</v>
      </c>
    </row>
    <row r="22" spans="1:4" ht="12.65" customHeight="1" x14ac:dyDescent="0.35">
      <c r="A22" s="6" t="s">
        <v>52</v>
      </c>
      <c r="B22" s="171"/>
      <c r="C22" s="171"/>
      <c r="D22" s="9" t="s">
        <v>54</v>
      </c>
    </row>
    <row r="23" spans="1:4" ht="12.65" customHeight="1" thickBot="1" x14ac:dyDescent="0.4">
      <c r="A23" s="12"/>
      <c r="B23" s="172"/>
      <c r="C23" s="172"/>
      <c r="D23" s="10" t="s">
        <v>91</v>
      </c>
    </row>
    <row r="24" spans="1:4" ht="12.65" customHeight="1" x14ac:dyDescent="0.35">
      <c r="A24" s="6"/>
      <c r="B24" s="170" t="s">
        <v>90</v>
      </c>
      <c r="C24" s="170">
        <v>8</v>
      </c>
      <c r="D24" s="9" t="s">
        <v>53</v>
      </c>
    </row>
    <row r="25" spans="1:4" ht="13.15" customHeight="1" x14ac:dyDescent="0.35">
      <c r="A25" s="13" t="s">
        <v>55</v>
      </c>
      <c r="B25" s="171"/>
      <c r="C25" s="171"/>
      <c r="D25" s="9" t="s">
        <v>57</v>
      </c>
    </row>
    <row r="26" spans="1:4" ht="12.65" customHeight="1" thickBot="1" x14ac:dyDescent="0.4">
      <c r="A26" s="12" t="s">
        <v>56</v>
      </c>
      <c r="B26" s="172"/>
      <c r="C26" s="172"/>
      <c r="D26" s="10" t="s">
        <v>92</v>
      </c>
    </row>
    <row r="27" spans="1:4" ht="12.65" customHeight="1" x14ac:dyDescent="0.35">
      <c r="A27" s="23"/>
      <c r="B27" s="24"/>
      <c r="C27" s="24"/>
      <c r="D27" s="25"/>
    </row>
    <row r="28" spans="1:4" ht="12.65" customHeight="1" x14ac:dyDescent="0.35">
      <c r="A28" s="5"/>
    </row>
    <row r="29" spans="1:4" ht="12.65" customHeight="1" x14ac:dyDescent="0.35">
      <c r="A29" s="14" t="s">
        <v>58</v>
      </c>
    </row>
    <row r="30" spans="1:4" ht="12.65" customHeight="1" x14ac:dyDescent="0.35">
      <c r="A30" s="5"/>
    </row>
    <row r="31" spans="1:4" x14ac:dyDescent="0.35">
      <c r="A31" s="14" t="s">
        <v>59</v>
      </c>
    </row>
    <row r="32" spans="1:4" x14ac:dyDescent="0.35">
      <c r="A32" s="5"/>
    </row>
    <row r="33" spans="1:4" x14ac:dyDescent="0.35">
      <c r="A33" s="14" t="s">
        <v>75</v>
      </c>
    </row>
    <row r="34" spans="1:4" x14ac:dyDescent="0.35">
      <c r="A34" s="5"/>
    </row>
    <row r="35" spans="1:4" ht="15" customHeight="1" x14ac:dyDescent="0.35">
      <c r="A35" s="173" t="s">
        <v>76</v>
      </c>
      <c r="B35" s="173"/>
      <c r="C35" s="173"/>
      <c r="D35" s="173"/>
    </row>
    <row r="36" spans="1:4" x14ac:dyDescent="0.35">
      <c r="A36" s="174" t="s">
        <v>77</v>
      </c>
      <c r="B36" s="174"/>
      <c r="C36" s="174"/>
      <c r="D36" s="174"/>
    </row>
    <row r="37" spans="1:4" x14ac:dyDescent="0.35">
      <c r="A37" s="22"/>
      <c r="B37" s="22"/>
      <c r="C37" s="22"/>
      <c r="D37" s="22"/>
    </row>
    <row r="39" spans="1:4" x14ac:dyDescent="0.35">
      <c r="A39" s="15" t="s">
        <v>63</v>
      </c>
      <c r="B39" s="176" t="s">
        <v>94</v>
      </c>
      <c r="C39" s="176"/>
      <c r="D39" s="176"/>
    </row>
    <row r="41" spans="1:4" x14ac:dyDescent="0.35">
      <c r="A41" s="98" t="s">
        <v>60</v>
      </c>
      <c r="B41" s="175" t="s">
        <v>61</v>
      </c>
      <c r="C41" s="175"/>
      <c r="D41" s="99" t="s">
        <v>62</v>
      </c>
    </row>
    <row r="42" spans="1:4" x14ac:dyDescent="0.35">
      <c r="A42" s="17" t="s">
        <v>52</v>
      </c>
      <c r="B42" s="177">
        <v>1</v>
      </c>
      <c r="C42" s="177"/>
      <c r="D42" s="18">
        <v>5850</v>
      </c>
    </row>
    <row r="43" spans="1:4" x14ac:dyDescent="0.35">
      <c r="A43" s="168" t="s">
        <v>64</v>
      </c>
      <c r="B43" s="168"/>
      <c r="C43" s="168"/>
      <c r="D43" s="168"/>
    </row>
    <row r="44" spans="1:4" x14ac:dyDescent="0.35">
      <c r="A44" s="169"/>
      <c r="B44" s="169"/>
      <c r="C44" s="169"/>
      <c r="D44" s="169"/>
    </row>
    <row r="45" spans="1:4" x14ac:dyDescent="0.35">
      <c r="A45" s="162"/>
      <c r="B45" s="163"/>
      <c r="C45" s="163"/>
      <c r="D45" s="164"/>
    </row>
    <row r="46" spans="1:4" x14ac:dyDescent="0.35">
      <c r="A46" s="165"/>
      <c r="B46" s="166"/>
      <c r="C46" s="166"/>
      <c r="D46" s="167"/>
    </row>
    <row r="47" spans="1:4" x14ac:dyDescent="0.35">
      <c r="A47" s="20"/>
      <c r="B47" s="19" t="s">
        <v>68</v>
      </c>
      <c r="C47" s="19"/>
      <c r="D47" s="19"/>
    </row>
    <row r="48" spans="1:4" ht="14.5" customHeight="1" x14ac:dyDescent="0.3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2026-02-27T00:50:06Z</cp:lastPrinted>
  <dcterms:created xsi:type="dcterms:W3CDTF">2010-11-16T20:41:00Z</dcterms:created>
  <dcterms:modified xsi:type="dcterms:W3CDTF">2026-02-27T00:51:08Z</dcterms:modified>
</cp:coreProperties>
</file>