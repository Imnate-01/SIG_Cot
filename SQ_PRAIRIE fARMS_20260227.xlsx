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0" documentId="8_{8D20A0EA-5C54-4373-AF21-BD0DED5FBCB3}" xr6:coauthVersionLast="47" xr6:coauthVersionMax="47" xr10:uidLastSave="{00000000-0000-0000-0000-000000000000}"/>
  <bookViews>
    <workbookView xWindow="-120" yWindow="-120" windowWidth="24240" windowHeight="13140" xr2:uid="{75152C66-752E-4347-8666-F63CA96AD5A3}"/>
  </bookViews>
  <sheets>
    <sheet name="SERVICE QUOTE" sheetId="1" r:id="rId1"/>
    <sheet name="CALIBRATION RATES" sheetId="2" r:id="rId2"/>
  </sheets>
  <definedNames>
    <definedName name="_xlnm.Print_Area" localSheetId="1">'CALIBRATION RATES'!$A$1:$D$46</definedName>
    <definedName name="_xlnm.Print_Area" localSheetId="0">'SERVICE QUOTE'!$A$1:$O$58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 l="1"/>
  <c r="O23" i="1"/>
  <c r="O22" i="1"/>
  <c r="O21" i="1"/>
  <c r="I25" i="1"/>
  <c r="C22" i="1"/>
  <c r="C23" i="1" s="1"/>
  <c r="O51" i="1"/>
  <c r="O43" i="1"/>
  <c r="G43" i="1"/>
  <c r="O39" i="1"/>
  <c r="O38" i="1"/>
  <c r="O37" i="1"/>
  <c r="O36" i="1"/>
  <c r="O35" i="1"/>
  <c r="O34" i="1"/>
  <c r="O32" i="1"/>
  <c r="O30" i="1"/>
  <c r="O29" i="1"/>
  <c r="O28" i="1"/>
  <c r="G39" i="1"/>
  <c r="G38" i="1"/>
  <c r="G37" i="1"/>
  <c r="G36" i="1"/>
  <c r="G35" i="1"/>
  <c r="G34" i="1"/>
  <c r="G32" i="1"/>
  <c r="G30" i="1"/>
  <c r="G29" i="1"/>
  <c r="G28" i="1"/>
  <c r="L40" i="1"/>
  <c r="D40" i="1"/>
  <c r="A39" i="1"/>
  <c r="A37" i="1"/>
  <c r="A35" i="1"/>
  <c r="A33" i="1"/>
  <c r="A31" i="1"/>
  <c r="A29" i="1"/>
  <c r="I28" i="1"/>
  <c r="I29" i="1" s="1"/>
  <c r="O52" i="1" l="1"/>
  <c r="G40" i="1"/>
  <c r="O49" i="1" s="1"/>
  <c r="O40" i="1"/>
  <c r="O50" i="1" s="1"/>
  <c r="O25" i="1"/>
  <c r="O48" i="1" s="1"/>
  <c r="I31" i="1"/>
  <c r="I33" i="1"/>
  <c r="I35" i="1"/>
  <c r="I37" i="1"/>
  <c r="I39" i="1"/>
  <c r="O55" i="1" l="1"/>
</calcChain>
</file>

<file path=xl/sharedStrings.xml><?xml version="1.0" encoding="utf-8"?>
<sst xmlns="http://schemas.openxmlformats.org/spreadsheetml/2006/main" count="200" uniqueCount="108">
  <si>
    <t>DBL</t>
  </si>
  <si>
    <t xml:space="preserve"> HRS    X</t>
  </si>
  <si>
    <t>REG</t>
  </si>
  <si>
    <t>OT</t>
  </si>
  <si>
    <t xml:space="preserve">WEEK 1 HRS  = </t>
  </si>
  <si>
    <t xml:space="preserve">WEEK 2 HRS  = </t>
  </si>
  <si>
    <t>LABOR SUBTOTAL  =</t>
  </si>
  <si>
    <t>TRAVEL TIME</t>
  </si>
  <si>
    <t>xx/xx/xx</t>
  </si>
  <si>
    <t>FROM:</t>
  </si>
  <si>
    <t>=</t>
  </si>
  <si>
    <t>TO:</t>
  </si>
  <si>
    <t>TRAVEL SUBTOTAL</t>
  </si>
  <si>
    <t>FIELD SERVICE RATES - USA</t>
  </si>
  <si>
    <t>REGULAR TIME</t>
  </si>
  <si>
    <t>OVERTIME</t>
  </si>
  <si>
    <t>PREMIUM TIME</t>
  </si>
  <si>
    <t>SUNDAYS &amp; HOLIDAYS</t>
  </si>
  <si>
    <t>TRAVEL TIME DOOR TO DOOR MONDAY - FRIDAY</t>
  </si>
  <si>
    <t>PREMIUM 1 TRAVEL TIME</t>
  </si>
  <si>
    <t>TRAVEL TIME ON SATURDAY</t>
  </si>
  <si>
    <t>PREMIUM 2 TRAVEL TIME</t>
  </si>
  <si>
    <t>TRAVEL TIME ON SUNDAYS &amp; HOLIDAYS</t>
  </si>
  <si>
    <t>EXPENSES</t>
  </si>
  <si>
    <t>AT COST</t>
  </si>
  <si>
    <t>INCLUDES: AIRFARE OR MILEAGE, HOTEL, MEALS, MISC.</t>
  </si>
  <si>
    <t>SUN.</t>
  </si>
  <si>
    <t>MON.</t>
  </si>
  <si>
    <t>TUE.</t>
  </si>
  <si>
    <t>WED.</t>
  </si>
  <si>
    <t>THU.</t>
  </si>
  <si>
    <t>FRI.</t>
  </si>
  <si>
    <t>SAT.</t>
  </si>
  <si>
    <t>BILLED AT COST (INCLUDES: AIRFARE OR MILEAGE, HOTEL, MEALS, MISC.)</t>
  </si>
  <si>
    <t>EXPENSE SUBTOTAL</t>
  </si>
  <si>
    <t>PREPARATION SUBTOTAL</t>
  </si>
  <si>
    <t>(PAGE 2)    CALIBRATION SUBTOTAL</t>
  </si>
  <si>
    <t xml:space="preserve">      SALES ACCOMMODATION SUBTOTAL</t>
  </si>
  <si>
    <t>GRAND TOTAL</t>
  </si>
  <si>
    <t>WEEK 1</t>
  </si>
  <si>
    <t>WEEK 2</t>
  </si>
  <si>
    <t>WEEK 1 LABOR SUBTOTAL</t>
  </si>
  <si>
    <t>WEEK 2 LABOR SUBTOTAL</t>
  </si>
  <si>
    <t>MONDAY-FRIDAY 8AM-4PM</t>
  </si>
  <si>
    <t>MONDAY-FRIDAY 4PM-8AM/WEEKDAYS OVER 8HRS/ALL DAY SATURDAY</t>
  </si>
  <si>
    <t>WEEK 1 PREPARATION TIME</t>
  </si>
  <si>
    <t>WEEK 2 PREPARATION TIME</t>
  </si>
  <si>
    <t>SIG SERVICE QUOTE - STANDARD RATES USD</t>
  </si>
  <si>
    <t>SCOPE OF VISIT:</t>
  </si>
  <si>
    <t>CUSTOMER:</t>
  </si>
  <si>
    <t>CITY / STATE:</t>
  </si>
  <si>
    <t xml:space="preserve">TOTAL TRAVEL HRS  = </t>
  </si>
  <si>
    <t>NOTE:</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</si>
  <si>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</si>
  <si>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Quoted by Brian Bergren on:</t>
  </si>
  <si>
    <t>Field Service Calibration Offerings – SIG</t>
  </si>
  <si>
    <t>Calibration Service Rates</t>
  </si>
  <si>
    <t>Fixed Cost</t>
  </si>
  <si>
    <t>Est Hours</t>
  </si>
  <si>
    <t>Included In Cost</t>
  </si>
  <si>
    <t>8am-4pm</t>
  </si>
  <si>
    <r>
      <t>·</t>
    </r>
    <r>
      <rPr>
        <sz val="7"/>
        <color theme="1"/>
        <rFont val="Times New Roman"/>
        <family val="1"/>
      </rPr>
      <t xml:space="preserve">        </t>
    </r>
    <r>
      <rPr>
        <sz val="8"/>
        <color theme="1"/>
        <rFont val="Cambria"/>
        <family val="1"/>
      </rPr>
      <t>Basic Annual PM Parts</t>
    </r>
  </si>
  <si>
    <t>VST Annual Calibration</t>
  </si>
  <si>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</si>
  <si>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</si>
  <si>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r>
      <t>·</t>
    </r>
    <r>
      <rPr>
        <sz val="7"/>
        <color theme="1"/>
        <rFont val="Times New Roman"/>
        <family val="1"/>
      </rPr>
      <t xml:space="preserve">        </t>
    </r>
    <r>
      <rPr>
        <sz val="8"/>
        <color theme="1"/>
        <rFont val="Cambria"/>
        <family val="1"/>
      </rPr>
      <t>Certs for each RTD</t>
    </r>
  </si>
  <si>
    <t>RTD Annual Calibration</t>
  </si>
  <si>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</si>
  <si>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</si>
  <si>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</si>
  <si>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r>
      <t>·</t>
    </r>
    <r>
      <rPr>
        <sz val="7"/>
        <color theme="1"/>
        <rFont val="Times New Roman"/>
        <family val="1"/>
      </rPr>
      <t xml:space="preserve">        </t>
    </r>
    <r>
      <rPr>
        <sz val="8"/>
        <color theme="1"/>
        <rFont val="Cambria"/>
        <family val="1"/>
      </rPr>
      <t>Includes all of the above</t>
    </r>
  </si>
  <si>
    <t>VST &amp; RTD Calibration (Same Day)</t>
  </si>
  <si>
    <r>
      <t>·</t>
    </r>
    <r>
      <rPr>
        <sz val="7"/>
        <color theme="1"/>
        <rFont val="Times New Roman"/>
        <family val="1"/>
      </rPr>
      <t xml:space="preserve">        </t>
    </r>
    <r>
      <rPr>
        <sz val="8"/>
        <color theme="1"/>
        <rFont val="Cambria"/>
        <family val="1"/>
      </rPr>
      <t>Must be same day</t>
    </r>
  </si>
  <si>
    <t>VST &amp; RTD Calibration Multi-Machine Discount</t>
  </si>
  <si>
    <r>
      <t>·</t>
    </r>
    <r>
      <rPr>
        <sz val="7"/>
        <color theme="1"/>
        <rFont val="Times New Roman"/>
        <family val="1"/>
      </rPr>
      <t xml:space="preserve">        </t>
    </r>
    <r>
      <rPr>
        <sz val="8"/>
        <color theme="1"/>
        <rFont val="Cambria"/>
        <family val="1"/>
      </rPr>
      <t>Must be same visit</t>
    </r>
  </si>
  <si>
    <t xml:space="preserve"> (3 or more machines on same visit)</t>
  </si>
  <si>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</si>
  <si>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</si>
  <si>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</si>
  <si>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</si>
  <si>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</si>
  <si>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Calibration Offering For :</t>
  </si>
  <si>
    <t>Calibration Package Offered</t>
  </si>
  <si>
    <t>Number Of Machines</t>
  </si>
  <si>
    <t>Total Cost</t>
  </si>
  <si>
    <t>Notes:</t>
  </si>
  <si>
    <t xml:space="preserve">    PAGE 2</t>
  </si>
  <si>
    <t>$208.00/HR</t>
  </si>
  <si>
    <t>$312.00/HR</t>
  </si>
  <si>
    <t>$416.00/HR</t>
  </si>
  <si>
    <t>$ 181.00/HR</t>
  </si>
  <si>
    <t>$272.00/HR</t>
  </si>
  <si>
    <t>$362.00/HR</t>
  </si>
  <si>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</si>
  <si>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r>
      <t>Unchanged since January 1</t>
    </r>
    <r>
      <rPr>
        <vertAlign val="superscript"/>
        <sz val="10"/>
        <color theme="1"/>
        <rFont val="Cambria"/>
        <family val="1"/>
      </rPr>
      <t>st</t>
    </r>
    <r>
      <rPr>
        <sz val="10"/>
        <color theme="1"/>
        <rFont val="Cambria"/>
        <family val="1"/>
      </rPr>
      <t>, 2026</t>
    </r>
  </si>
  <si>
    <t>$4,550 / Machine</t>
  </si>
  <si>
    <t>$2,275 / Machine</t>
  </si>
  <si>
    <t>$5,850 / Machine</t>
  </si>
  <si>
    <r>
      <t>·</t>
    </r>
    <r>
      <rPr>
        <sz val="7"/>
        <color theme="1"/>
        <rFont val="Times New Roman"/>
        <family val="1"/>
      </rPr>
      <t xml:space="preserve">        </t>
    </r>
    <r>
      <rPr>
        <sz val="8"/>
        <color theme="1"/>
        <rFont val="Cambria"/>
        <family val="1"/>
      </rPr>
      <t>$975.00 discount</t>
    </r>
  </si>
  <si>
    <t>$3,900 / Machine</t>
  </si>
  <si>
    <r>
      <t>·</t>
    </r>
    <r>
      <rPr>
        <sz val="7"/>
        <color theme="1"/>
        <rFont val="Times New Roman"/>
        <family val="1"/>
      </rPr>
      <t xml:space="preserve">        </t>
    </r>
    <r>
      <rPr>
        <sz val="8"/>
        <color theme="1"/>
        <rFont val="Cambria"/>
        <family val="1"/>
      </rPr>
      <t>Additional $1.950.00 discount</t>
    </r>
  </si>
  <si>
    <t>Prairie Farms</t>
  </si>
  <si>
    <t>Granite City, IL</t>
  </si>
  <si>
    <t>(4) SF41 RTD &amp; VST Calibrations</t>
  </si>
  <si>
    <t>Chicago &amp; California</t>
  </si>
  <si>
    <t>CAL</t>
  </si>
  <si>
    <t>QUOTE #:20260227</t>
  </si>
  <si>
    <t>VST &amp; RTD Calibration Multi-Machine Dist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</si>
</sst>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
    <numFmt numFmtId="165" formatCode="m/d/yy;@"/>
    <numFmt numFmtId="166" formatCode="&quot;$&quot;#,##0.00"/>
    <numFmt numFmtId="167" formatCode="&quot;$&quot;#,##0"/>
  </numFmts>
  <fonts count="29" x14ac:knownFonts="1">
    <font>
      <sz val="11"/>
      <color theme="1"/>
      <name val="Aptos Narrow"/>
      <family val="2"/>
      <scheme val="minor"/>
    </font>
    <font>
      <b/>
      <sz val="11"/>
      <color theme="1"/>
      <name val="Aptos Narrow"/>
      <family val="2"/>
      <scheme val="minor"/>
    </font>
    <font>
      <sz val="8"/>
      <color theme="1"/>
      <name val="Aptos Narrow"/>
      <family val="2"/>
      <scheme val="minor"/>
    </font>
    <font>
      <b/>
      <sz val="8"/>
      <color theme="1"/>
      <name val="Aptos Narrow"/>
      <family val="2"/>
      <scheme val="minor"/>
    </font>
    <font>
      <b/>
      <sz val="10"/>
      <color theme="1"/>
      <name val="Aptos Narrow"/>
      <family val="2"/>
      <scheme val="minor"/>
    </font>
    <font>
      <sz val="10"/>
      <color theme="1"/>
      <name val="Aptos Narrow"/>
      <family val="2"/>
      <scheme val="minor"/>
    </font>
    <font>
      <sz val="11"/>
      <color theme="3" tint="0.249977111117893"/>
      <name val="Aptos Narrow"/>
      <family val="2"/>
      <scheme val="minor"/>
    </font>
    <font>
      <b/>
      <sz val="10"/>
      <color theme="3" tint="0.249977111117893"/>
      <name val="Aptos Narrow"/>
      <family val="2"/>
      <scheme val="minor"/>
    </font>
    <font>
      <b/>
      <sz val="8"/>
      <color rgb="FFFF0000"/>
      <name val="Aptos Narrow"/>
      <family val="2"/>
      <scheme val="minor"/>
    </font>
    <font>
      <b/>
      <sz val="10"/>
      <color theme="0"/>
      <name val="Aptos Narrow"/>
      <family val="2"/>
      <scheme val="minor"/>
    </font>
    <font>
      <b/>
      <sz val="8"/>
      <color theme="0"/>
      <name val="Aptos Narrow"/>
      <family val="2"/>
      <scheme val="minor"/>
    </font>
    <font>
      <b/>
      <sz val="9"/>
      <color theme="3" tint="0.249977111117893"/>
      <name val="Aptos Narrow"/>
      <family val="2"/>
      <scheme val="minor"/>
    </font>
    <font>
      <b/>
      <sz val="11"/>
      <color theme="0"/>
      <name val="Aptos Narrow"/>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9"/>
      <color rgb="FFFFFFFF"/>
      <name val="Cambria"/>
      <family val="1"/>
    </font>
    <font>
      <b/>
      <sz val="12"/>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sz val="10"/>
      <color theme="1"/>
      <name val="Times New Roman"/>
      <family val="1"/>
    </font>
    <font>
      <b/>
      <sz val="8"/>
      <color theme="0" tint="-0.34998626667073579"/>
      <name val="Aptos Narrow"/>
      <family val="2"/>
      <scheme val="minor"/>
    </font>
    <font>
      <sz val="6"/>
      <color theme="4"/>
      <name val="Aptos Narrow"/>
      <family val="2"/>
      <scheme val="minor"/>
    </font>
    <font>
      <b/>
      <sz val="9"/>
      <color theme="4" tint="-0.249977111117893"/>
      <name val="PP SIG Flow SemiBold"/>
      <family val="3"/>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8" fontId="3" fillId="0" borderId="0" xfId="0" applyNumberFormat="1" applyFont="1" applyAlignment="1">
      <alignment horizontal="right" vertical="center"/>
    </xf>
    <xf numFmtId="0" fontId="0" fillId="0" borderId="13" xfId="0" applyBorder="1"/>
    <xf numFmtId="8" fontId="3" fillId="0" borderId="13" xfId="0" applyNumberFormat="1" applyFont="1" applyBorder="1" applyAlignment="1">
      <alignment vertical="center"/>
    </xf>
    <xf numFmtId="1" fontId="3" fillId="0" borderId="13"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0" fontId="4" fillId="0" borderId="13" xfId="0" applyFont="1" applyBorder="1" applyAlignment="1">
      <alignment horizontal="left" vertical="center"/>
    </xf>
    <xf numFmtId="0" fontId="4" fillId="0" borderId="11"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vertical="center"/>
    </xf>
    <xf numFmtId="0" fontId="3" fillId="0" borderId="12" xfId="0" applyFont="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1" fontId="2" fillId="3" borderId="3" xfId="0" applyNumberFormat="1" applyFont="1" applyFill="1" applyBorder="1" applyAlignment="1" applyProtection="1">
      <alignment horizontal="center" vertical="center"/>
      <protection locked="0"/>
    </xf>
    <xf numFmtId="164" fontId="3" fillId="3" borderId="2" xfId="0" applyNumberFormat="1" applyFont="1" applyFill="1" applyBorder="1" applyAlignment="1" applyProtection="1">
      <alignment horizontal="center" vertical="center"/>
      <protection locked="0"/>
    </xf>
    <xf numFmtId="8" fontId="3" fillId="3" borderId="2" xfId="0" applyNumberFormat="1" applyFont="1" applyFill="1" applyBorder="1" applyAlignment="1">
      <alignment vertical="center"/>
    </xf>
    <xf numFmtId="8" fontId="2" fillId="3" borderId="4" xfId="0" applyNumberFormat="1" applyFont="1" applyFill="1" applyBorder="1" applyAlignment="1">
      <alignment horizontal="center" vertical="center"/>
    </xf>
    <xf numFmtId="14" fontId="2" fillId="4" borderId="1" xfId="0" applyNumberFormat="1"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 fontId="2" fillId="4" borderId="3" xfId="0" applyNumberFormat="1" applyFont="1" applyFill="1" applyBorder="1" applyAlignment="1" applyProtection="1">
      <alignment horizontal="center" vertical="center"/>
      <protection locked="0"/>
    </xf>
    <xf numFmtId="164" fontId="3" fillId="4" borderId="2" xfId="0" applyNumberFormat="1" applyFont="1" applyFill="1" applyBorder="1" applyAlignment="1" applyProtection="1">
      <alignment horizontal="center" vertical="center"/>
      <protection locked="0"/>
    </xf>
    <xf numFmtId="8" fontId="3" fillId="4" borderId="2" xfId="0" applyNumberFormat="1" applyFont="1" applyFill="1" applyBorder="1" applyAlignment="1">
      <alignment vertical="center"/>
    </xf>
    <xf numFmtId="8" fontId="2" fillId="4" borderId="4"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6" xfId="0" applyFont="1" applyFill="1" applyBorder="1" applyAlignment="1">
      <alignment horizontal="right" vertical="center"/>
    </xf>
    <xf numFmtId="1" fontId="3" fillId="4" borderId="4" xfId="0" applyNumberFormat="1" applyFont="1" applyFill="1" applyBorder="1" applyAlignment="1">
      <alignment horizontal="center" vertical="center"/>
    </xf>
    <xf numFmtId="0" fontId="3" fillId="4" borderId="5" xfId="0" applyFont="1" applyFill="1" applyBorder="1" applyAlignment="1">
      <alignment vertical="center"/>
    </xf>
    <xf numFmtId="8" fontId="3" fillId="4" borderId="7"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2" fillId="4" borderId="3" xfId="0" applyNumberFormat="1" applyFont="1" applyFill="1" applyBorder="1" applyAlignment="1">
      <alignment horizontal="center" vertical="center"/>
    </xf>
    <xf numFmtId="164" fontId="3" fillId="4" borderId="1" xfId="0" applyNumberFormat="1" applyFont="1" applyFill="1" applyBorder="1" applyAlignment="1" applyProtection="1">
      <alignment horizontal="center" vertical="center"/>
      <protection locked="0"/>
    </xf>
    <xf numFmtId="1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3" fillId="4" borderId="4" xfId="0" applyNumberFormat="1" applyFont="1" applyFill="1" applyBorder="1" applyAlignment="1" applyProtection="1">
      <alignment vertical="center"/>
      <protection locked="0"/>
    </xf>
    <xf numFmtId="0" fontId="3" fillId="4" borderId="6" xfId="0" applyFont="1" applyFill="1" applyBorder="1" applyAlignment="1">
      <alignment horizontal="center" vertical="center"/>
    </xf>
    <xf numFmtId="14" fontId="2" fillId="3" borderId="5" xfId="0" applyNumberFormat="1" applyFont="1" applyFill="1" applyBorder="1" applyAlignment="1">
      <alignment vertical="center"/>
    </xf>
    <xf numFmtId="0" fontId="3" fillId="3" borderId="6" xfId="0" applyFont="1" applyFill="1" applyBorder="1" applyAlignment="1">
      <alignment horizontal="right" vertical="center"/>
    </xf>
    <xf numFmtId="0" fontId="3" fillId="3" borderId="6" xfId="0" applyFont="1" applyFill="1" applyBorder="1" applyAlignment="1">
      <alignment horizontal="center" vertical="center"/>
    </xf>
    <xf numFmtId="8" fontId="2" fillId="3" borderId="7" xfId="0" applyNumberFormat="1" applyFont="1" applyFill="1" applyBorder="1" applyAlignment="1">
      <alignment vertical="center"/>
    </xf>
    <xf numFmtId="165" fontId="2" fillId="3" borderId="5" xfId="0" applyNumberFormat="1" applyFont="1" applyFill="1" applyBorder="1" applyAlignment="1">
      <alignment vertical="center"/>
    </xf>
    <xf numFmtId="14" fontId="2" fillId="4" borderId="8" xfId="0" applyNumberFormat="1" applyFont="1" applyFill="1" applyBorder="1" applyAlignment="1" applyProtection="1">
      <alignment horizontal="right" vertical="center"/>
      <protection locked="0"/>
    </xf>
    <xf numFmtId="0" fontId="3" fillId="4" borderId="0" xfId="0" applyFont="1" applyFill="1" applyAlignment="1">
      <alignment horizontal="right" vertical="center"/>
    </xf>
    <xf numFmtId="0" fontId="3" fillId="4" borderId="0" xfId="0" applyFont="1" applyFill="1" applyAlignment="1">
      <alignment horizontal="center" vertical="center"/>
    </xf>
    <xf numFmtId="8" fontId="2" fillId="4" borderId="9" xfId="0" applyNumberFormat="1" applyFont="1" applyFill="1" applyBorder="1" applyAlignment="1">
      <alignment vertical="center"/>
    </xf>
    <xf numFmtId="8" fontId="3" fillId="4" borderId="7" xfId="0" applyNumberFormat="1" applyFont="1" applyFill="1" applyBorder="1" applyAlignment="1">
      <alignment horizontal="right" vertical="center"/>
    </xf>
    <xf numFmtId="0" fontId="3" fillId="4" borderId="11"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4" borderId="3" xfId="0" applyFont="1" applyFill="1" applyBorder="1"/>
    <xf numFmtId="165" fontId="6" fillId="0" borderId="0" xfId="0" applyNumberFormat="1" applyFont="1"/>
    <xf numFmtId="0" fontId="9" fillId="5" borderId="2" xfId="0" applyFont="1" applyFill="1" applyBorder="1" applyAlignment="1">
      <alignment horizontal="center"/>
    </xf>
    <xf numFmtId="8" fontId="9" fillId="5" borderId="2" xfId="0" applyNumberFormat="1" applyFont="1" applyFill="1" applyBorder="1" applyAlignment="1">
      <alignment horizontal="center"/>
    </xf>
    <xf numFmtId="0" fontId="7" fillId="0" borderId="0" xfId="0" applyFont="1" applyAlignment="1">
      <alignment vertical="center"/>
    </xf>
    <xf numFmtId="0" fontId="3" fillId="0" borderId="0" xfId="0" applyFont="1" applyAlignment="1">
      <alignment horizontal="left" vertical="center"/>
    </xf>
    <xf numFmtId="0" fontId="0" fillId="0" borderId="11" xfId="0" applyBorder="1"/>
    <xf numFmtId="0" fontId="8" fillId="0" borderId="12" xfId="0" applyFont="1" applyBorder="1" applyAlignment="1">
      <alignment vertical="center"/>
    </xf>
    <xf numFmtId="8" fontId="3" fillId="4" borderId="4" xfId="0" applyNumberFormat="1" applyFont="1" applyFill="1" applyBorder="1" applyAlignment="1">
      <alignment horizontal="center" vertical="center"/>
    </xf>
    <xf numFmtId="8" fontId="8" fillId="4" borderId="4" xfId="0" applyNumberFormat="1" applyFont="1" applyFill="1" applyBorder="1" applyAlignment="1">
      <alignment horizontal="center" vertical="center"/>
    </xf>
    <xf numFmtId="8" fontId="3" fillId="4" borderId="2" xfId="0" applyNumberFormat="1" applyFont="1" applyFill="1" applyBorder="1" applyAlignment="1">
      <alignment horizontal="center" vertical="center"/>
    </xf>
    <xf numFmtId="166" fontId="3" fillId="4" borderId="7" xfId="0" applyNumberFormat="1" applyFont="1" applyFill="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19" fillId="0" borderId="16" xfId="0" applyFont="1" applyBorder="1" applyAlignment="1">
      <alignment horizontal="center" vertical="center" wrapText="1"/>
    </xf>
    <xf numFmtId="0" fontId="21" fillId="0" borderId="17" xfId="0" applyFont="1" applyBorder="1" applyAlignment="1">
      <alignment horizontal="left" vertical="center" wrapText="1" indent="2"/>
    </xf>
    <xf numFmtId="0" fontId="21" fillId="0" borderId="17" xfId="0" applyFont="1" applyBorder="1" applyAlignment="1">
      <alignment horizontal="left" vertical="center" indent="2"/>
    </xf>
    <xf numFmtId="0" fontId="0" fillId="0" borderId="18" xfId="0" applyBorder="1" applyAlignment="1">
      <alignment vertical="top" wrapText="1"/>
    </xf>
    <xf numFmtId="0" fontId="21" fillId="0" borderId="19" xfId="0" applyFont="1" applyBorder="1" applyAlignment="1">
      <alignment horizontal="left" vertical="center" wrapText="1" indent="2"/>
    </xf>
    <xf numFmtId="0" fontId="23" fillId="0" borderId="16" xfId="0" applyFont="1" applyBorder="1" applyAlignment="1">
      <alignment vertical="center" wrapText="1"/>
    </xf>
    <xf numFmtId="0" fontId="23" fillId="0" borderId="16" xfId="0" applyFont="1" applyBorder="1" applyAlignment="1">
      <alignment horizontal="center" vertical="center" wrapText="1"/>
    </xf>
    <xf numFmtId="0" fontId="23" fillId="0" borderId="18" xfId="0" applyFont="1" applyBorder="1" applyAlignment="1">
      <alignment horizontal="center" vertical="center" wrapText="1"/>
    </xf>
    <xf numFmtId="0" fontId="19" fillId="0" borderId="16" xfId="0" applyFont="1" applyBorder="1" applyAlignment="1">
      <alignment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left" vertical="center" wrapText="1" indent="2"/>
    </xf>
    <xf numFmtId="0" fontId="24" fillId="0" borderId="0" xfId="0" applyFont="1" applyAlignment="1">
      <alignment horizontal="left" vertical="center"/>
    </xf>
    <xf numFmtId="0" fontId="24" fillId="0" borderId="0" xfId="0" applyFont="1" applyAlignment="1">
      <alignment horizontal="left" vertical="center" wrapText="1"/>
    </xf>
    <xf numFmtId="0" fontId="1" fillId="0" borderId="0" xfId="0" applyFont="1" applyAlignment="1">
      <alignment horizontal="right"/>
    </xf>
    <xf numFmtId="0" fontId="0" fillId="0" borderId="3" xfId="0" applyBorder="1" applyProtection="1">
      <protection locked="0"/>
    </xf>
    <xf numFmtId="167" fontId="0" fillId="0" borderId="3" xfId="0" applyNumberFormat="1" applyBorder="1" applyAlignment="1" applyProtection="1">
      <alignment horizontal="center"/>
      <protection locked="0"/>
    </xf>
    <xf numFmtId="0" fontId="26" fillId="0" borderId="11" xfId="0" applyFont="1" applyBorder="1" applyAlignment="1">
      <alignment wrapText="1"/>
    </xf>
    <xf numFmtId="0" fontId="3" fillId="0" borderId="11" xfId="0" applyFont="1" applyBorder="1" applyAlignment="1">
      <alignment wrapText="1"/>
    </xf>
    <xf numFmtId="0" fontId="16" fillId="5" borderId="14"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8" fillId="5" borderId="16"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0" fillId="5" borderId="18" xfId="0" applyFill="1" applyBorder="1" applyAlignment="1">
      <alignment vertical="top" wrapText="1"/>
    </xf>
    <xf numFmtId="0" fontId="17" fillId="5" borderId="19" xfId="0" applyFont="1" applyFill="1" applyBorder="1" applyAlignment="1">
      <alignment horizontal="center" vertical="center" wrapText="1"/>
    </xf>
    <xf numFmtId="0" fontId="0" fillId="5" borderId="19" xfId="0" applyFill="1" applyBorder="1" applyAlignment="1">
      <alignment vertical="top" wrapText="1"/>
    </xf>
    <xf numFmtId="0" fontId="17" fillId="5" borderId="16" xfId="0" applyFont="1" applyFill="1" applyBorder="1" applyAlignment="1">
      <alignment vertical="center" wrapText="1"/>
    </xf>
    <xf numFmtId="0" fontId="12" fillId="5" borderId="3" xfId="0" applyFont="1" applyFill="1" applyBorder="1" applyAlignment="1">
      <alignment horizontal="center" vertical="center"/>
    </xf>
    <xf numFmtId="0" fontId="0" fillId="5" borderId="18" xfId="0" applyFill="1" applyBorder="1" applyAlignment="1">
      <alignment vertical="center" wrapText="1"/>
    </xf>
    <xf numFmtId="0" fontId="0" fillId="5" borderId="19" xfId="0" applyFill="1" applyBorder="1" applyAlignment="1">
      <alignment vertical="center" wrapText="1"/>
    </xf>
    <xf numFmtId="0" fontId="12" fillId="5" borderId="3" xfId="0" applyFont="1" applyFill="1" applyBorder="1" applyAlignment="1">
      <alignment vertical="center"/>
    </xf>
    <xf numFmtId="0" fontId="8" fillId="4" borderId="1" xfId="0" applyFont="1" applyFill="1" applyBorder="1" applyAlignment="1">
      <alignment horizontal="right" vertical="center"/>
    </xf>
    <xf numFmtId="0" fontId="8" fillId="4" borderId="2" xfId="0" applyFont="1" applyFill="1" applyBorder="1" applyAlignment="1">
      <alignment horizontal="right" vertical="center"/>
    </xf>
    <xf numFmtId="0" fontId="11" fillId="0" borderId="0" xfId="0" applyFont="1" applyAlignment="1">
      <alignment horizontal="right" vertical="center"/>
    </xf>
    <xf numFmtId="0" fontId="28" fillId="0" borderId="0" xfId="0" applyFont="1" applyAlignment="1">
      <alignment horizontal="right" vertical="center"/>
    </xf>
    <xf numFmtId="0" fontId="2"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4" borderId="1" xfId="0" applyFont="1" applyFill="1" applyBorder="1" applyAlignment="1" applyProtection="1">
      <alignment horizontal="left" vertical="center"/>
      <protection locked="0"/>
    </xf>
    <xf numFmtId="0" fontId="2" fillId="4" borderId="2" xfId="0" applyFont="1" applyFill="1" applyBorder="1" applyAlignment="1" applyProtection="1">
      <alignment horizontal="left" vertical="center"/>
      <protection locked="0"/>
    </xf>
    <xf numFmtId="0" fontId="2" fillId="4" borderId="4" xfId="0" applyFont="1" applyFill="1" applyBorder="1" applyAlignment="1" applyProtection="1">
      <alignment horizontal="left" vertical="center"/>
      <protection locked="0"/>
    </xf>
    <xf numFmtId="8" fontId="3" fillId="4" borderId="11" xfId="0" applyNumberFormat="1" applyFont="1" applyFill="1" applyBorder="1" applyAlignment="1">
      <alignment horizontal="center" vertical="center"/>
    </xf>
    <xf numFmtId="8" fontId="3" fillId="3" borderId="6" xfId="0" applyNumberFormat="1" applyFont="1" applyFill="1" applyBorder="1" applyAlignment="1">
      <alignment horizontal="center" vertical="center"/>
    </xf>
    <xf numFmtId="0" fontId="3" fillId="4" borderId="5" xfId="0" applyFont="1" applyFill="1" applyBorder="1" applyAlignment="1">
      <alignment horizontal="right" vertical="center"/>
    </xf>
    <xf numFmtId="0" fontId="3" fillId="4" borderId="6" xfId="0" applyFont="1" applyFill="1" applyBorder="1" applyAlignment="1">
      <alignment horizontal="righ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4" fillId="0" borderId="0" xfId="0" applyFont="1" applyAlignment="1">
      <alignment horizontal="right"/>
    </xf>
    <xf numFmtId="0" fontId="4" fillId="0" borderId="0" xfId="0" applyFont="1" applyAlignment="1">
      <alignment horizontal="right" vertical="center"/>
    </xf>
    <xf numFmtId="0" fontId="5" fillId="0" borderId="0" xfId="0" applyFont="1" applyAlignment="1">
      <alignment horizontal="left" vertical="center"/>
    </xf>
    <xf numFmtId="0" fontId="3" fillId="4" borderId="10" xfId="0" applyFont="1" applyFill="1" applyBorder="1" applyAlignment="1">
      <alignment horizontal="right" vertical="center"/>
    </xf>
    <xf numFmtId="0" fontId="3" fillId="4" borderId="11" xfId="0" applyFont="1" applyFill="1" applyBorder="1" applyAlignment="1">
      <alignment horizontal="right"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8" xfId="0" applyFont="1" applyFill="1" applyBorder="1" applyAlignment="1">
      <alignment horizontal="right" vertical="center"/>
    </xf>
    <xf numFmtId="0" fontId="3" fillId="4" borderId="0" xfId="0" applyFont="1" applyFill="1" applyAlignment="1">
      <alignment horizontal="right" vertical="center"/>
    </xf>
    <xf numFmtId="0" fontId="3" fillId="4" borderId="0" xfId="0" applyFont="1" applyFill="1" applyAlignment="1">
      <alignment horizontal="center"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4" fontId="3" fillId="4" borderId="3" xfId="0" applyNumberFormat="1" applyFont="1" applyFill="1" applyBorder="1" applyAlignment="1" applyProtection="1">
      <alignment horizontal="center" vertical="center"/>
      <protection locked="0"/>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4" xfId="0" applyFont="1" applyFill="1" applyBorder="1" applyAlignment="1">
      <alignment horizontal="center" vertical="center"/>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11" xfId="0" applyFont="1" applyFill="1" applyBorder="1" applyAlignment="1">
      <alignment horizontal="center"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2" xfId="0" applyFont="1" applyFill="1" applyBorder="1" applyAlignment="1">
      <alignment horizontal="right" vertical="center"/>
    </xf>
    <xf numFmtId="0" fontId="3" fillId="4" borderId="2" xfId="0" applyFont="1" applyFill="1" applyBorder="1" applyAlignment="1">
      <alignment horizontal="center" vertical="center"/>
    </xf>
    <xf numFmtId="0" fontId="9" fillId="5" borderId="1" xfId="0" applyFont="1" applyFill="1" applyBorder="1" applyAlignment="1">
      <alignment horizontal="center"/>
    </xf>
    <xf numFmtId="0" fontId="9" fillId="5" borderId="2" xfId="0" applyFont="1" applyFill="1" applyBorder="1" applyAlignment="1">
      <alignment horizontal="center"/>
    </xf>
    <xf numFmtId="0" fontId="9" fillId="5" borderId="4" xfId="0" applyFont="1" applyFill="1" applyBorder="1" applyAlignment="1">
      <alignment horizontal="center"/>
    </xf>
    <xf numFmtId="0" fontId="2" fillId="4" borderId="1"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4" borderId="6" xfId="0" applyFont="1" applyFill="1" applyBorder="1" applyAlignment="1">
      <alignment horizontal="center" vertical="center"/>
    </xf>
    <xf numFmtId="0" fontId="0" fillId="0" borderId="0" xfId="0" applyAlignment="1">
      <alignment horizontal="center" vertical="center" wrapText="1"/>
    </xf>
    <xf numFmtId="0" fontId="27" fillId="0" borderId="0" xfId="0" applyFont="1" applyAlignment="1">
      <alignment horizontal="left" vertical="top" wrapText="1"/>
    </xf>
    <xf numFmtId="0" fontId="9" fillId="5" borderId="3" xfId="0" applyFont="1" applyFill="1" applyBorder="1" applyAlignment="1">
      <alignment horizontal="left" vertical="center"/>
    </xf>
    <xf numFmtId="0" fontId="3" fillId="4" borderId="1" xfId="0" applyFont="1" applyFill="1" applyBorder="1" applyAlignment="1">
      <alignment horizontal="right" vertical="center"/>
    </xf>
    <xf numFmtId="0" fontId="10" fillId="5" borderId="1" xfId="0" applyFont="1" applyFill="1" applyBorder="1" applyAlignment="1">
      <alignment horizontal="right" vertical="center"/>
    </xf>
    <xf numFmtId="0" fontId="10" fillId="5" borderId="2" xfId="0" applyFont="1" applyFill="1" applyBorder="1" applyAlignment="1">
      <alignment horizontal="right" vertical="center"/>
    </xf>
    <xf numFmtId="0" fontId="3" fillId="4" borderId="3" xfId="0" applyFont="1" applyFill="1" applyBorder="1" applyAlignment="1">
      <alignment horizontal="left" vertical="center"/>
    </xf>
    <xf numFmtId="0" fontId="3" fillId="4" borderId="1" xfId="0" applyFont="1" applyFill="1" applyBorder="1" applyAlignment="1">
      <alignment horizontal="left" vertical="center"/>
    </xf>
    <xf numFmtId="0" fontId="3" fillId="4" borderId="4" xfId="0" applyFont="1" applyFill="1" applyBorder="1" applyAlignment="1">
      <alignment horizontal="right" vertical="center"/>
    </xf>
    <xf numFmtId="0" fontId="3" fillId="4" borderId="3" xfId="0" applyFont="1" applyFill="1" applyBorder="1" applyAlignment="1">
      <alignment horizontal="right" vertical="center"/>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8" xfId="0" applyFont="1" applyBorder="1" applyAlignment="1">
      <alignment horizontal="center" vertical="center" wrapText="1"/>
    </xf>
    <xf numFmtId="0" fontId="0" fillId="0" borderId="3" xfId="0" applyBorder="1" applyAlignment="1" applyProtection="1">
      <alignment horizontal="center"/>
      <protection locked="0"/>
    </xf>
    <xf numFmtId="0" fontId="1" fillId="0" borderId="11" xfId="0" applyFont="1" applyBorder="1" applyAlignment="1">
      <alignment horizontal="left"/>
    </xf>
    <xf numFmtId="0" fontId="1" fillId="0" borderId="6" xfId="0" applyFont="1" applyBorder="1" applyAlignment="1">
      <alignment horizontal="left"/>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24" fillId="0" borderId="0" xfId="0" applyFont="1" applyAlignment="1">
      <alignment horizontal="left" vertical="center" wrapText="1"/>
    </xf>
    <xf numFmtId="0" fontId="25" fillId="0" borderId="0" xfId="0" applyFont="1" applyAlignment="1">
      <alignment horizontal="left" vertical="center" wrapText="1"/>
    </xf>
    <xf numFmtId="0" fontId="1" fillId="0" borderId="6" xfId="0" applyFont="1" applyBorder="1" applyAlignment="1" applyProtection="1">
      <alignment horizontal="center"/>
      <protection locked="0"/>
    </xf>
    <xf numFmtId="0" fontId="12" fillId="5"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92527</xdr:colOff>
      <xdr:row>0</xdr:row>
      <xdr:rowOff>87086</xdr:rowOff>
    </xdr:from>
    <xdr:to>
      <xdr:col>1</xdr:col>
      <xdr:colOff>65314</xdr:colOff>
      <xdr:row>3</xdr:row>
      <xdr:rowOff>156689</xdr:rowOff>
    </xdr:to>
    <xdr:pic>
      <xdr:nvPicPr>
        <xdr:cNvPr id="5" name="Picture 4">
          <a:extLst>
            <a:ext uri="{FF2B5EF4-FFF2-40B4-BE49-F238E27FC236}">
              <a16:creationId xmlns:a16="http://schemas.microsoft.com/office/drawing/2014/main" id="{AD8C4482-A275-4F7C-5660-67685CD16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27" y="87086"/>
          <a:ext cx="631373" cy="603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35EDC7EA-A62B-4CF6-A838-D86734045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3" name="Picture 2">
          <a:extLst>
            <a:ext uri="{FF2B5EF4-FFF2-40B4-BE49-F238E27FC236}">
              <a16:creationId xmlns:a16="http://schemas.microsoft.com/office/drawing/2014/main" id="{2D09D0D5-1398-4975-9EB6-789E5E4EA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8F4A-C761-40E8-8051-4D234013F51A}">
  <dimension ref="A1:O57"/>
  <sheetViews>
    <sheetView tabSelected="1" zoomScaleNormal="100" workbookViewId="0">
      <selection activeCell="U17" sqref="U17"/>
    </sheetView>
  </sheetViews>
  <sheetFormatPr defaultRowHeight="15" x14ac:dyDescent="0.25"/>
  <cols>
    <col min="2" max="2" width="5.7109375" customWidth="1"/>
    <col min="3" max="3" width="7.7109375" customWidth="1"/>
    <col min="4" max="5" width="6.7109375" customWidth="1"/>
    <col min="6" max="7" width="7.7109375" customWidth="1"/>
    <col min="8" max="8" width="0.85546875" customWidth="1"/>
    <col min="10" max="10" width="5.7109375" customWidth="1"/>
    <col min="11" max="11" width="7.7109375" customWidth="1"/>
    <col min="12" max="13" width="6.7109375" customWidth="1"/>
    <col min="14" max="14" width="7.7109375" customWidth="1"/>
  </cols>
  <sheetData>
    <row r="1" spans="1:15" ht="12.95" customHeight="1" x14ac:dyDescent="0.25">
      <c r="I1" s="62"/>
      <c r="J1" s="62"/>
      <c r="K1" s="62"/>
      <c r="L1" s="62"/>
      <c r="M1" s="62"/>
      <c r="N1" s="62"/>
      <c r="O1" s="62"/>
    </row>
    <row r="2" spans="1:15" x14ac:dyDescent="0.25">
      <c r="I2" s="106" t="s">
        <v>106</v>
      </c>
      <c r="J2" s="106"/>
      <c r="K2" s="106"/>
      <c r="L2" s="106"/>
      <c r="M2" s="106"/>
      <c r="N2" s="106"/>
      <c r="O2" s="106"/>
    </row>
    <row r="5" spans="1:15" ht="12.95" customHeight="1" x14ac:dyDescent="0.25">
      <c r="A5" s="117" t="s">
        <v>47</v>
      </c>
      <c r="B5" s="118"/>
      <c r="C5" s="118"/>
      <c r="D5" s="118"/>
      <c r="E5" s="118"/>
      <c r="F5" s="118"/>
      <c r="G5" s="118"/>
      <c r="H5" s="118"/>
      <c r="I5" s="118"/>
      <c r="J5" s="118"/>
      <c r="K5" s="118"/>
      <c r="L5" s="118"/>
      <c r="M5" s="118"/>
      <c r="N5" s="118"/>
      <c r="O5" s="119"/>
    </row>
    <row r="6" spans="1:15" ht="5.0999999999999996" customHeight="1" x14ac:dyDescent="0.25"/>
    <row r="7" spans="1:15" ht="12.95" customHeight="1" x14ac:dyDescent="0.25">
      <c r="A7" s="120" t="s">
        <v>49</v>
      </c>
      <c r="B7" s="120"/>
      <c r="C7" s="120"/>
      <c r="D7" s="122" t="s">
        <v>101</v>
      </c>
      <c r="E7" s="122"/>
      <c r="F7" s="122"/>
      <c r="G7" s="122"/>
      <c r="H7" s="122"/>
      <c r="I7" s="121" t="s">
        <v>50</v>
      </c>
      <c r="J7" s="121"/>
      <c r="K7" s="121"/>
      <c r="L7" s="122" t="s">
        <v>102</v>
      </c>
      <c r="M7" s="122"/>
      <c r="N7" s="122"/>
      <c r="O7" s="122"/>
    </row>
    <row r="8" spans="1:15" ht="5.0999999999999996" customHeight="1" x14ac:dyDescent="0.25"/>
    <row r="9" spans="1:15" ht="12.95" customHeight="1" x14ac:dyDescent="0.25">
      <c r="A9" s="120" t="s">
        <v>48</v>
      </c>
      <c r="B9" s="120"/>
      <c r="C9" s="120"/>
      <c r="D9" s="122" t="s">
        <v>103</v>
      </c>
      <c r="E9" s="122"/>
      <c r="F9" s="122"/>
      <c r="G9" s="122"/>
      <c r="H9" s="122"/>
      <c r="I9" s="122"/>
      <c r="J9" s="122"/>
      <c r="K9" s="122"/>
      <c r="L9" s="122"/>
      <c r="M9" s="122"/>
      <c r="N9" s="122"/>
    </row>
    <row r="10" spans="1:15" ht="5.0999999999999996" customHeight="1" x14ac:dyDescent="0.25"/>
    <row r="11" spans="1:15" ht="12.95" customHeight="1" x14ac:dyDescent="0.25">
      <c r="A11" s="133" t="s">
        <v>13</v>
      </c>
      <c r="B11" s="134"/>
      <c r="C11" s="134"/>
      <c r="D11" s="134"/>
      <c r="E11" s="134"/>
      <c r="F11" s="134"/>
      <c r="G11" s="134"/>
      <c r="H11" s="134"/>
      <c r="I11" s="134"/>
      <c r="J11" s="134"/>
      <c r="K11" s="134"/>
      <c r="L11" s="134"/>
      <c r="M11" s="134"/>
      <c r="N11" s="134"/>
      <c r="O11" s="135"/>
    </row>
    <row r="12" spans="1:15" ht="12.95" customHeight="1" x14ac:dyDescent="0.25">
      <c r="A12" s="123" t="s">
        <v>14</v>
      </c>
      <c r="B12" s="124"/>
      <c r="C12" s="124"/>
      <c r="D12" s="138" t="s">
        <v>87</v>
      </c>
      <c r="E12" s="138"/>
      <c r="F12" s="138"/>
      <c r="G12" s="53"/>
      <c r="H12" s="53"/>
      <c r="I12" s="136" t="s">
        <v>43</v>
      </c>
      <c r="J12" s="136"/>
      <c r="K12" s="136"/>
      <c r="L12" s="136"/>
      <c r="M12" s="136"/>
      <c r="N12" s="136"/>
      <c r="O12" s="137"/>
    </row>
    <row r="13" spans="1:15" ht="12.95" customHeight="1" x14ac:dyDescent="0.25">
      <c r="A13" s="127" t="s">
        <v>15</v>
      </c>
      <c r="B13" s="128"/>
      <c r="C13" s="128"/>
      <c r="D13" s="129" t="s">
        <v>88</v>
      </c>
      <c r="E13" s="129"/>
      <c r="F13" s="129"/>
      <c r="G13" s="54"/>
      <c r="H13" s="54"/>
      <c r="I13" s="125" t="s">
        <v>44</v>
      </c>
      <c r="J13" s="125"/>
      <c r="K13" s="125"/>
      <c r="L13" s="125"/>
      <c r="M13" s="125"/>
      <c r="N13" s="125"/>
      <c r="O13" s="126"/>
    </row>
    <row r="14" spans="1:15" ht="12.95" customHeight="1" x14ac:dyDescent="0.25">
      <c r="A14" s="127" t="s">
        <v>16</v>
      </c>
      <c r="B14" s="128"/>
      <c r="C14" s="128"/>
      <c r="D14" s="129" t="s">
        <v>89</v>
      </c>
      <c r="E14" s="129"/>
      <c r="F14" s="129"/>
      <c r="G14" s="54"/>
      <c r="H14" s="54"/>
      <c r="I14" s="125" t="s">
        <v>17</v>
      </c>
      <c r="J14" s="125"/>
      <c r="K14" s="125"/>
      <c r="L14" s="125"/>
      <c r="M14" s="125"/>
      <c r="N14" s="125"/>
      <c r="O14" s="126"/>
    </row>
    <row r="15" spans="1:15" ht="12.95" customHeight="1" x14ac:dyDescent="0.25">
      <c r="A15" s="127" t="s">
        <v>7</v>
      </c>
      <c r="B15" s="128"/>
      <c r="C15" s="128"/>
      <c r="D15" s="129" t="s">
        <v>90</v>
      </c>
      <c r="E15" s="129"/>
      <c r="F15" s="129"/>
      <c r="G15" s="54"/>
      <c r="H15" s="54"/>
      <c r="I15" s="125" t="s">
        <v>18</v>
      </c>
      <c r="J15" s="125"/>
      <c r="K15" s="125"/>
      <c r="L15" s="125"/>
      <c r="M15" s="125"/>
      <c r="N15" s="125"/>
      <c r="O15" s="126"/>
    </row>
    <row r="16" spans="1:15" ht="12.95" customHeight="1" x14ac:dyDescent="0.25">
      <c r="A16" s="127" t="s">
        <v>19</v>
      </c>
      <c r="B16" s="128"/>
      <c r="C16" s="128"/>
      <c r="D16" s="129" t="s">
        <v>91</v>
      </c>
      <c r="E16" s="129"/>
      <c r="F16" s="129"/>
      <c r="G16" s="54"/>
      <c r="H16" s="54"/>
      <c r="I16" s="125" t="s">
        <v>20</v>
      </c>
      <c r="J16" s="125"/>
      <c r="K16" s="125"/>
      <c r="L16" s="125"/>
      <c r="M16" s="125"/>
      <c r="N16" s="125"/>
      <c r="O16" s="126"/>
    </row>
    <row r="17" spans="1:15" ht="12.95" customHeight="1" x14ac:dyDescent="0.25">
      <c r="A17" s="127" t="s">
        <v>21</v>
      </c>
      <c r="B17" s="128"/>
      <c r="C17" s="128"/>
      <c r="D17" s="129" t="s">
        <v>92</v>
      </c>
      <c r="E17" s="129"/>
      <c r="F17" s="129"/>
      <c r="G17" s="54"/>
      <c r="H17" s="54"/>
      <c r="I17" s="125" t="s">
        <v>22</v>
      </c>
      <c r="J17" s="125"/>
      <c r="K17" s="125"/>
      <c r="L17" s="125"/>
      <c r="M17" s="125"/>
      <c r="N17" s="125"/>
      <c r="O17" s="126"/>
    </row>
    <row r="18" spans="1:15" ht="12.95" customHeight="1" x14ac:dyDescent="0.25">
      <c r="A18" s="115" t="s">
        <v>23</v>
      </c>
      <c r="B18" s="116"/>
      <c r="C18" s="116"/>
      <c r="D18" s="150" t="s">
        <v>24</v>
      </c>
      <c r="E18" s="150"/>
      <c r="F18" s="150"/>
      <c r="G18" s="55"/>
      <c r="H18" s="55"/>
      <c r="I18" s="139" t="s">
        <v>25</v>
      </c>
      <c r="J18" s="139"/>
      <c r="K18" s="139"/>
      <c r="L18" s="139"/>
      <c r="M18" s="139"/>
      <c r="N18" s="139"/>
      <c r="O18" s="140"/>
    </row>
    <row r="19" spans="1:15" ht="5.0999999999999996" customHeight="1" x14ac:dyDescent="0.25"/>
    <row r="20" spans="1:15" ht="12.95" customHeight="1" x14ac:dyDescent="0.25">
      <c r="A20" s="133" t="s">
        <v>7</v>
      </c>
      <c r="B20" s="134"/>
      <c r="C20" s="134"/>
      <c r="D20" s="134"/>
      <c r="E20" s="134"/>
      <c r="F20" s="134"/>
      <c r="G20" s="134"/>
      <c r="H20" s="134"/>
      <c r="I20" s="134"/>
      <c r="J20" s="134"/>
      <c r="K20" s="134"/>
      <c r="L20" s="134"/>
      <c r="M20" s="134"/>
      <c r="N20" s="134"/>
      <c r="O20" s="135"/>
    </row>
    <row r="21" spans="1:15" ht="12.95" customHeight="1" x14ac:dyDescent="0.25">
      <c r="A21" s="48" t="s">
        <v>8</v>
      </c>
      <c r="B21" s="49" t="s">
        <v>9</v>
      </c>
      <c r="C21" s="110" t="s">
        <v>104</v>
      </c>
      <c r="D21" s="111"/>
      <c r="E21" s="111"/>
      <c r="F21" s="111"/>
      <c r="G21" s="111"/>
      <c r="H21" s="112"/>
      <c r="I21" s="146">
        <v>20</v>
      </c>
      <c r="J21" s="147"/>
      <c r="K21" s="50" t="s">
        <v>1</v>
      </c>
      <c r="L21" s="113">
        <v>181</v>
      </c>
      <c r="M21" s="113"/>
      <c r="N21" s="50" t="s">
        <v>10</v>
      </c>
      <c r="O21" s="51">
        <f>SUM(I21*L21)</f>
        <v>3620</v>
      </c>
    </row>
    <row r="22" spans="1:15" ht="12.95" customHeight="1" x14ac:dyDescent="0.25">
      <c r="A22" s="43"/>
      <c r="B22" s="44" t="s">
        <v>11</v>
      </c>
      <c r="C22" s="107" t="str">
        <f>L7</f>
        <v>Granite City, IL</v>
      </c>
      <c r="D22" s="108"/>
      <c r="E22" s="108"/>
      <c r="F22" s="108"/>
      <c r="G22" s="108"/>
      <c r="H22" s="109"/>
      <c r="I22" s="148"/>
      <c r="J22" s="149"/>
      <c r="K22" s="45" t="s">
        <v>1</v>
      </c>
      <c r="L22" s="114">
        <v>272</v>
      </c>
      <c r="M22" s="114"/>
      <c r="N22" s="45" t="s">
        <v>10</v>
      </c>
      <c r="O22" s="46">
        <f>SUM(I22*L22)</f>
        <v>0</v>
      </c>
    </row>
    <row r="23" spans="1:15" ht="12.95" customHeight="1" x14ac:dyDescent="0.25">
      <c r="A23" s="48" t="s">
        <v>8</v>
      </c>
      <c r="B23" s="49" t="s">
        <v>9</v>
      </c>
      <c r="C23" s="110" t="str">
        <f>C22</f>
        <v>Granite City, IL</v>
      </c>
      <c r="D23" s="111"/>
      <c r="E23" s="111"/>
      <c r="F23" s="111"/>
      <c r="G23" s="111"/>
      <c r="H23" s="112"/>
      <c r="I23" s="146">
        <v>20</v>
      </c>
      <c r="J23" s="147"/>
      <c r="K23" s="50" t="s">
        <v>1</v>
      </c>
      <c r="L23" s="113">
        <v>181</v>
      </c>
      <c r="M23" s="113"/>
      <c r="N23" s="50" t="s">
        <v>10</v>
      </c>
      <c r="O23" s="51">
        <f>SUM(I23*L23)</f>
        <v>3620</v>
      </c>
    </row>
    <row r="24" spans="1:15" ht="12.95" customHeight="1" x14ac:dyDescent="0.25">
      <c r="A24" s="47"/>
      <c r="B24" s="44" t="s">
        <v>11</v>
      </c>
      <c r="C24" s="107" t="s">
        <v>104</v>
      </c>
      <c r="D24" s="108"/>
      <c r="E24" s="108"/>
      <c r="F24" s="108"/>
      <c r="G24" s="108"/>
      <c r="H24" s="109"/>
      <c r="I24" s="148"/>
      <c r="J24" s="149"/>
      <c r="K24" s="45" t="s">
        <v>1</v>
      </c>
      <c r="L24" s="114">
        <v>272</v>
      </c>
      <c r="M24" s="114"/>
      <c r="N24" s="45" t="s">
        <v>10</v>
      </c>
      <c r="O24" s="46">
        <f>SUM(I24*L24)</f>
        <v>0</v>
      </c>
    </row>
    <row r="25" spans="1:15" ht="12.95" customHeight="1" x14ac:dyDescent="0.25">
      <c r="A25" s="11"/>
      <c r="B25" s="12"/>
      <c r="C25" s="13"/>
      <c r="D25" s="12"/>
      <c r="E25" s="14"/>
      <c r="F25" s="141" t="s">
        <v>51</v>
      </c>
      <c r="G25" s="141"/>
      <c r="H25" s="30"/>
      <c r="I25" s="142">
        <f>SUM(I21:I24)</f>
        <v>40</v>
      </c>
      <c r="J25" s="142"/>
      <c r="K25" s="141" t="s">
        <v>12</v>
      </c>
      <c r="L25" s="141"/>
      <c r="M25" s="141"/>
      <c r="N25" s="22" t="s">
        <v>10</v>
      </c>
      <c r="O25" s="52">
        <f>SUM(O21:O24)</f>
        <v>7240</v>
      </c>
    </row>
    <row r="26" spans="1:15" ht="5.0999999999999996" customHeight="1" x14ac:dyDescent="0.25">
      <c r="A26" s="1"/>
      <c r="B26" s="2"/>
      <c r="C26" s="3"/>
      <c r="D26" s="2"/>
      <c r="E26" s="2"/>
      <c r="F26" s="2"/>
      <c r="G26" s="2"/>
      <c r="H26" s="2"/>
      <c r="I26" s="2"/>
      <c r="J26" s="4"/>
      <c r="K26" s="2"/>
      <c r="L26" s="2"/>
      <c r="M26" s="2"/>
      <c r="N26" s="4"/>
      <c r="O26" s="5"/>
    </row>
    <row r="27" spans="1:15" ht="12.95" customHeight="1" x14ac:dyDescent="0.25">
      <c r="A27" s="143" t="s">
        <v>39</v>
      </c>
      <c r="B27" s="144"/>
      <c r="C27" s="144"/>
      <c r="D27" s="144"/>
      <c r="E27" s="144"/>
      <c r="F27" s="144"/>
      <c r="G27" s="145"/>
      <c r="H27" s="6"/>
      <c r="I27" s="143" t="s">
        <v>40</v>
      </c>
      <c r="J27" s="144"/>
      <c r="K27" s="144"/>
      <c r="L27" s="144"/>
      <c r="M27" s="144"/>
      <c r="N27" s="144"/>
      <c r="O27" s="145"/>
    </row>
    <row r="28" spans="1:15" ht="12.95" customHeight="1" x14ac:dyDescent="0.25">
      <c r="A28" s="21">
        <v>45658</v>
      </c>
      <c r="B28" s="22" t="s">
        <v>26</v>
      </c>
      <c r="C28" s="23" t="s">
        <v>0</v>
      </c>
      <c r="D28" s="24"/>
      <c r="E28" s="25" t="s">
        <v>1</v>
      </c>
      <c r="F28" s="26">
        <v>416</v>
      </c>
      <c r="G28" s="27">
        <f t="shared" ref="G28:G39" si="0">D28*F28</f>
        <v>0</v>
      </c>
      <c r="H28" s="7"/>
      <c r="I28" s="21">
        <f>A28+7</f>
        <v>45665</v>
      </c>
      <c r="J28" s="22" t="s">
        <v>26</v>
      </c>
      <c r="K28" s="23" t="s">
        <v>0</v>
      </c>
      <c r="L28" s="24"/>
      <c r="M28" s="25" t="s">
        <v>1</v>
      </c>
      <c r="N28" s="26">
        <v>416</v>
      </c>
      <c r="O28" s="27">
        <f t="shared" ref="O28:O39" si="1">L28*N28</f>
        <v>0</v>
      </c>
    </row>
    <row r="29" spans="1:15" ht="12.95" customHeight="1" x14ac:dyDescent="0.25">
      <c r="A29" s="28">
        <f>A28+1</f>
        <v>45659</v>
      </c>
      <c r="B29" s="15" t="s">
        <v>27</v>
      </c>
      <c r="C29" s="16" t="s">
        <v>2</v>
      </c>
      <c r="D29" s="17"/>
      <c r="E29" s="18" t="s">
        <v>1</v>
      </c>
      <c r="F29" s="19">
        <v>208</v>
      </c>
      <c r="G29" s="20">
        <f t="shared" si="0"/>
        <v>0</v>
      </c>
      <c r="H29" s="7"/>
      <c r="I29" s="28">
        <f>I28+1</f>
        <v>45666</v>
      </c>
      <c r="J29" s="15" t="s">
        <v>27</v>
      </c>
      <c r="K29" s="16" t="s">
        <v>2</v>
      </c>
      <c r="L29" s="17"/>
      <c r="M29" s="18" t="s">
        <v>1</v>
      </c>
      <c r="N29" s="19">
        <v>208</v>
      </c>
      <c r="O29" s="20">
        <f t="shared" si="1"/>
        <v>0</v>
      </c>
    </row>
    <row r="30" spans="1:15" ht="12.95" customHeight="1" x14ac:dyDescent="0.25">
      <c r="A30" s="29"/>
      <c r="B30" s="22"/>
      <c r="C30" s="23" t="s">
        <v>3</v>
      </c>
      <c r="D30" s="24"/>
      <c r="E30" s="25" t="s">
        <v>1</v>
      </c>
      <c r="F30" s="26">
        <v>312</v>
      </c>
      <c r="G30" s="27">
        <f t="shared" si="0"/>
        <v>0</v>
      </c>
      <c r="H30" s="7"/>
      <c r="I30" s="29"/>
      <c r="J30" s="22"/>
      <c r="K30" s="23" t="s">
        <v>3</v>
      </c>
      <c r="L30" s="24"/>
      <c r="M30" s="25" t="s">
        <v>1</v>
      </c>
      <c r="N30" s="26">
        <v>312</v>
      </c>
      <c r="O30" s="27">
        <f t="shared" si="1"/>
        <v>0</v>
      </c>
    </row>
    <row r="31" spans="1:15" ht="12.95" customHeight="1" x14ac:dyDescent="0.25">
      <c r="A31" s="28">
        <f>A28+2</f>
        <v>45660</v>
      </c>
      <c r="B31" s="15" t="s">
        <v>28</v>
      </c>
      <c r="C31" s="16" t="s">
        <v>2</v>
      </c>
      <c r="D31" s="17" t="s">
        <v>105</v>
      </c>
      <c r="E31" s="18" t="s">
        <v>1</v>
      </c>
      <c r="F31" s="19">
        <v>208</v>
      </c>
      <c r="G31" s="20">
        <v>0</v>
      </c>
      <c r="H31" s="7"/>
      <c r="I31" s="28">
        <f>I28+2</f>
        <v>45667</v>
      </c>
      <c r="J31" s="15" t="s">
        <v>28</v>
      </c>
      <c r="K31" s="16" t="s">
        <v>2</v>
      </c>
      <c r="L31" s="17" t="s">
        <v>105</v>
      </c>
      <c r="M31" s="18" t="s">
        <v>1</v>
      </c>
      <c r="N31" s="19">
        <v>208</v>
      </c>
      <c r="O31" s="20">
        <v>0</v>
      </c>
    </row>
    <row r="32" spans="1:15" ht="12.95" customHeight="1" x14ac:dyDescent="0.25">
      <c r="A32" s="29"/>
      <c r="B32" s="22"/>
      <c r="C32" s="23" t="s">
        <v>3</v>
      </c>
      <c r="D32" s="24"/>
      <c r="E32" s="25" t="s">
        <v>1</v>
      </c>
      <c r="F32" s="26">
        <v>312</v>
      </c>
      <c r="G32" s="27">
        <f t="shared" si="0"/>
        <v>0</v>
      </c>
      <c r="H32" s="7"/>
      <c r="I32" s="29"/>
      <c r="J32" s="22"/>
      <c r="K32" s="23" t="s">
        <v>3</v>
      </c>
      <c r="L32" s="24"/>
      <c r="M32" s="25" t="s">
        <v>1</v>
      </c>
      <c r="N32" s="26">
        <v>312</v>
      </c>
      <c r="O32" s="27">
        <f t="shared" si="1"/>
        <v>0</v>
      </c>
    </row>
    <row r="33" spans="1:15" ht="12.95" customHeight="1" x14ac:dyDescent="0.25">
      <c r="A33" s="37">
        <f>A28+3</f>
        <v>45661</v>
      </c>
      <c r="B33" s="38" t="s">
        <v>29</v>
      </c>
      <c r="C33" s="39" t="s">
        <v>2</v>
      </c>
      <c r="D33" s="40" t="s">
        <v>105</v>
      </c>
      <c r="E33" s="18" t="s">
        <v>1</v>
      </c>
      <c r="F33" s="19">
        <v>208</v>
      </c>
      <c r="G33" s="20">
        <v>0</v>
      </c>
      <c r="H33" s="7"/>
      <c r="I33" s="37">
        <f>I28+3</f>
        <v>45668</v>
      </c>
      <c r="J33" s="38" t="s">
        <v>29</v>
      </c>
      <c r="K33" s="39" t="s">
        <v>2</v>
      </c>
      <c r="L33" s="40" t="s">
        <v>105</v>
      </c>
      <c r="M33" s="18" t="s">
        <v>1</v>
      </c>
      <c r="N33" s="19">
        <v>208</v>
      </c>
      <c r="O33" s="20">
        <v>0</v>
      </c>
    </row>
    <row r="34" spans="1:15" ht="12.95" customHeight="1" x14ac:dyDescent="0.25">
      <c r="A34" s="29"/>
      <c r="B34" s="22"/>
      <c r="C34" s="23" t="s">
        <v>3</v>
      </c>
      <c r="D34" s="24"/>
      <c r="E34" s="25" t="s">
        <v>1</v>
      </c>
      <c r="F34" s="26">
        <v>312</v>
      </c>
      <c r="G34" s="27">
        <f t="shared" si="0"/>
        <v>0</v>
      </c>
      <c r="H34" s="7"/>
      <c r="I34" s="29"/>
      <c r="J34" s="22"/>
      <c r="K34" s="23" t="s">
        <v>3</v>
      </c>
      <c r="L34" s="24"/>
      <c r="M34" s="25" t="s">
        <v>1</v>
      </c>
      <c r="N34" s="26">
        <v>312</v>
      </c>
      <c r="O34" s="27">
        <f t="shared" si="1"/>
        <v>0</v>
      </c>
    </row>
    <row r="35" spans="1:15" ht="12.95" customHeight="1" x14ac:dyDescent="0.25">
      <c r="A35" s="28">
        <f>A28+4</f>
        <v>45662</v>
      </c>
      <c r="B35" s="15" t="s">
        <v>30</v>
      </c>
      <c r="C35" s="16" t="s">
        <v>2</v>
      </c>
      <c r="D35" s="17">
        <v>8</v>
      </c>
      <c r="E35" s="18" t="s">
        <v>1</v>
      </c>
      <c r="F35" s="19">
        <v>208</v>
      </c>
      <c r="G35" s="20">
        <f t="shared" si="0"/>
        <v>1664</v>
      </c>
      <c r="H35" s="7"/>
      <c r="I35" s="28">
        <f>I28+4</f>
        <v>45669</v>
      </c>
      <c r="J35" s="15" t="s">
        <v>30</v>
      </c>
      <c r="K35" s="16" t="s">
        <v>2</v>
      </c>
      <c r="L35" s="17">
        <v>8</v>
      </c>
      <c r="M35" s="18" t="s">
        <v>1</v>
      </c>
      <c r="N35" s="19">
        <v>208</v>
      </c>
      <c r="O35" s="20">
        <f t="shared" si="1"/>
        <v>1664</v>
      </c>
    </row>
    <row r="36" spans="1:15" ht="12.95" customHeight="1" x14ac:dyDescent="0.25">
      <c r="A36" s="29"/>
      <c r="B36" s="22"/>
      <c r="C36" s="23" t="s">
        <v>3</v>
      </c>
      <c r="D36" s="24"/>
      <c r="E36" s="25" t="s">
        <v>1</v>
      </c>
      <c r="F36" s="26">
        <v>312</v>
      </c>
      <c r="G36" s="27">
        <f t="shared" si="0"/>
        <v>0</v>
      </c>
      <c r="H36" s="7"/>
      <c r="I36" s="29"/>
      <c r="J36" s="22"/>
      <c r="K36" s="23" t="s">
        <v>3</v>
      </c>
      <c r="L36" s="24"/>
      <c r="M36" s="25" t="s">
        <v>1</v>
      </c>
      <c r="N36" s="26">
        <v>312</v>
      </c>
      <c r="O36" s="27">
        <f t="shared" si="1"/>
        <v>0</v>
      </c>
    </row>
    <row r="37" spans="1:15" ht="12.95" customHeight="1" x14ac:dyDescent="0.25">
      <c r="A37" s="28">
        <f>A28+5</f>
        <v>45663</v>
      </c>
      <c r="B37" s="15" t="s">
        <v>31</v>
      </c>
      <c r="C37" s="16" t="s">
        <v>2</v>
      </c>
      <c r="D37" s="17"/>
      <c r="E37" s="18" t="s">
        <v>1</v>
      </c>
      <c r="F37" s="19">
        <v>208</v>
      </c>
      <c r="G37" s="20">
        <f t="shared" si="0"/>
        <v>0</v>
      </c>
      <c r="H37" s="7"/>
      <c r="I37" s="28">
        <f>I28+5</f>
        <v>45670</v>
      </c>
      <c r="J37" s="15" t="s">
        <v>31</v>
      </c>
      <c r="K37" s="16" t="s">
        <v>2</v>
      </c>
      <c r="L37" s="17"/>
      <c r="M37" s="18" t="s">
        <v>1</v>
      </c>
      <c r="N37" s="19">
        <v>208</v>
      </c>
      <c r="O37" s="20">
        <f t="shared" si="1"/>
        <v>0</v>
      </c>
    </row>
    <row r="38" spans="1:15" ht="12.95" customHeight="1" x14ac:dyDescent="0.25">
      <c r="A38" s="29"/>
      <c r="B38" s="22"/>
      <c r="C38" s="23" t="s">
        <v>3</v>
      </c>
      <c r="D38" s="24"/>
      <c r="E38" s="25" t="s">
        <v>1</v>
      </c>
      <c r="F38" s="26">
        <v>312</v>
      </c>
      <c r="G38" s="27">
        <f t="shared" si="0"/>
        <v>0</v>
      </c>
      <c r="H38" s="7"/>
      <c r="I38" s="29"/>
      <c r="J38" s="22"/>
      <c r="K38" s="23" t="s">
        <v>3</v>
      </c>
      <c r="L38" s="24"/>
      <c r="M38" s="25" t="s">
        <v>1</v>
      </c>
      <c r="N38" s="26">
        <v>312</v>
      </c>
      <c r="O38" s="27">
        <f t="shared" si="1"/>
        <v>0</v>
      </c>
    </row>
    <row r="39" spans="1:15" ht="12.95" customHeight="1" x14ac:dyDescent="0.25">
      <c r="A39" s="28">
        <f>A28+6</f>
        <v>45664</v>
      </c>
      <c r="B39" s="15" t="s">
        <v>32</v>
      </c>
      <c r="C39" s="16" t="s">
        <v>3</v>
      </c>
      <c r="D39" s="17"/>
      <c r="E39" s="18" t="s">
        <v>1</v>
      </c>
      <c r="F39" s="19">
        <v>312</v>
      </c>
      <c r="G39" s="20">
        <f t="shared" si="0"/>
        <v>0</v>
      </c>
      <c r="H39" s="7"/>
      <c r="I39" s="28">
        <f>I28+6</f>
        <v>45671</v>
      </c>
      <c r="J39" s="15" t="s">
        <v>32</v>
      </c>
      <c r="K39" s="16" t="s">
        <v>3</v>
      </c>
      <c r="L39" s="17"/>
      <c r="M39" s="18" t="s">
        <v>1</v>
      </c>
      <c r="N39" s="19">
        <v>312</v>
      </c>
      <c r="O39" s="20">
        <f t="shared" si="1"/>
        <v>0</v>
      </c>
    </row>
    <row r="40" spans="1:15" ht="12.95" customHeight="1" x14ac:dyDescent="0.25">
      <c r="A40" s="32"/>
      <c r="B40" s="116" t="s">
        <v>4</v>
      </c>
      <c r="C40" s="116"/>
      <c r="D40" s="31">
        <f>SUM(D28:D39)</f>
        <v>8</v>
      </c>
      <c r="E40" s="154" t="s">
        <v>6</v>
      </c>
      <c r="F40" s="141"/>
      <c r="G40" s="69">
        <f>SUM(G28:G39)</f>
        <v>1664</v>
      </c>
      <c r="H40" s="8"/>
      <c r="I40" s="32"/>
      <c r="J40" s="116" t="s">
        <v>5</v>
      </c>
      <c r="K40" s="116"/>
      <c r="L40" s="31">
        <f>SUM(L28:L39)</f>
        <v>8</v>
      </c>
      <c r="M40" s="141" t="s">
        <v>6</v>
      </c>
      <c r="N40" s="141"/>
      <c r="O40" s="33">
        <f>SUM(O28:O39)</f>
        <v>1664</v>
      </c>
    </row>
    <row r="41" spans="1:15" ht="5.0999999999999996" customHeight="1" x14ac:dyDescent="0.25"/>
    <row r="42" spans="1:15" ht="12.95" customHeight="1" x14ac:dyDescent="0.25">
      <c r="A42" s="133" t="s">
        <v>45</v>
      </c>
      <c r="B42" s="134"/>
      <c r="C42" s="134"/>
      <c r="D42" s="134"/>
      <c r="E42" s="134"/>
      <c r="F42" s="134"/>
      <c r="G42" s="135"/>
      <c r="H42" s="10"/>
      <c r="I42" s="133" t="s">
        <v>46</v>
      </c>
      <c r="J42" s="134"/>
      <c r="K42" s="134"/>
      <c r="L42" s="134"/>
      <c r="M42" s="134"/>
      <c r="N42" s="134"/>
      <c r="O42" s="135"/>
    </row>
    <row r="43" spans="1:15" ht="12.95" customHeight="1" x14ac:dyDescent="0.25">
      <c r="A43" s="130" t="s">
        <v>39</v>
      </c>
      <c r="B43" s="131"/>
      <c r="C43" s="34" t="s">
        <v>2</v>
      </c>
      <c r="D43" s="35"/>
      <c r="E43" s="25" t="s">
        <v>1</v>
      </c>
      <c r="F43" s="26">
        <v>208</v>
      </c>
      <c r="G43" s="68">
        <f>D43*F43</f>
        <v>0</v>
      </c>
      <c r="H43" s="9"/>
      <c r="I43" s="132" t="s">
        <v>40</v>
      </c>
      <c r="J43" s="132"/>
      <c r="K43" s="23" t="s">
        <v>2</v>
      </c>
      <c r="L43" s="58"/>
      <c r="M43" s="36" t="s">
        <v>1</v>
      </c>
      <c r="N43" s="26">
        <v>208</v>
      </c>
      <c r="O43" s="66">
        <f>L43*N43</f>
        <v>0</v>
      </c>
    </row>
    <row r="44" spans="1:15" ht="5.0999999999999996" customHeight="1" x14ac:dyDescent="0.25"/>
    <row r="45" spans="1:15" ht="12.95" customHeight="1" x14ac:dyDescent="0.25">
      <c r="A45" s="153" t="s">
        <v>23</v>
      </c>
      <c r="B45" s="153"/>
      <c r="C45" s="153"/>
      <c r="D45" s="153"/>
      <c r="E45" s="153"/>
      <c r="F45" s="153"/>
      <c r="G45" s="153"/>
      <c r="H45" s="153"/>
      <c r="I45" s="153"/>
      <c r="J45" s="153"/>
      <c r="K45" s="153"/>
      <c r="L45" s="153"/>
      <c r="M45" s="153"/>
      <c r="N45" s="153"/>
      <c r="O45" s="153"/>
    </row>
    <row r="46" spans="1:15" ht="12.95" customHeight="1" x14ac:dyDescent="0.25">
      <c r="A46" s="157" t="s">
        <v>33</v>
      </c>
      <c r="B46" s="157"/>
      <c r="C46" s="157"/>
      <c r="D46" s="157"/>
      <c r="E46" s="157"/>
      <c r="F46" s="157"/>
      <c r="G46" s="157"/>
      <c r="H46" s="157"/>
      <c r="I46" s="157"/>
      <c r="J46" s="158"/>
      <c r="K46" s="159" t="s">
        <v>34</v>
      </c>
      <c r="L46" s="160"/>
      <c r="M46" s="154"/>
      <c r="N46" s="22" t="s">
        <v>10</v>
      </c>
      <c r="O46" s="41">
        <v>5000</v>
      </c>
    </row>
    <row r="47" spans="1:15" ht="5.0999999999999996" customHeight="1" x14ac:dyDescent="0.25"/>
    <row r="48" spans="1:15" ht="12.95" customHeight="1" x14ac:dyDescent="0.25">
      <c r="A48" s="63" t="s">
        <v>52</v>
      </c>
      <c r="B48" s="151"/>
      <c r="C48" s="151"/>
      <c r="D48" s="151"/>
      <c r="E48" s="151"/>
      <c r="F48" s="151"/>
      <c r="G48" s="151"/>
      <c r="J48" s="155" t="s">
        <v>12</v>
      </c>
      <c r="K48" s="156"/>
      <c r="L48" s="156"/>
      <c r="M48" s="156"/>
      <c r="N48" s="60" t="s">
        <v>10</v>
      </c>
      <c r="O48" s="66">
        <f>O25</f>
        <v>7240</v>
      </c>
    </row>
    <row r="49" spans="1:15" ht="12.95" customHeight="1" x14ac:dyDescent="0.25">
      <c r="A49" s="152" t="s">
        <v>53</v>
      </c>
      <c r="B49" s="152"/>
      <c r="C49" s="152"/>
      <c r="D49" s="152"/>
      <c r="E49" s="152"/>
      <c r="F49" s="152"/>
      <c r="G49" s="152"/>
      <c r="H49" s="56"/>
      <c r="I49" s="57"/>
      <c r="J49" s="155" t="s">
        <v>41</v>
      </c>
      <c r="K49" s="156"/>
      <c r="L49" s="156"/>
      <c r="M49" s="156"/>
      <c r="N49" s="60" t="s">
        <v>10</v>
      </c>
      <c r="O49" s="66">
        <f>G40</f>
        <v>1664</v>
      </c>
    </row>
    <row r="50" spans="1:15" ht="12.95" customHeight="1" x14ac:dyDescent="0.25">
      <c r="A50" s="152"/>
      <c r="B50" s="152"/>
      <c r="C50" s="152"/>
      <c r="D50" s="152"/>
      <c r="E50" s="152"/>
      <c r="F50" s="152"/>
      <c r="G50" s="152"/>
      <c r="H50" s="56"/>
      <c r="I50" s="57"/>
      <c r="J50" s="155" t="s">
        <v>42</v>
      </c>
      <c r="K50" s="156"/>
      <c r="L50" s="156"/>
      <c r="M50" s="156"/>
      <c r="N50" s="60" t="s">
        <v>10</v>
      </c>
      <c r="O50" s="66">
        <f>O40</f>
        <v>1664</v>
      </c>
    </row>
    <row r="51" spans="1:15" ht="12.95" customHeight="1" x14ac:dyDescent="0.25">
      <c r="A51" s="152"/>
      <c r="B51" s="152"/>
      <c r="C51" s="152"/>
      <c r="D51" s="152"/>
      <c r="E51" s="152"/>
      <c r="F51" s="152"/>
      <c r="G51" s="152"/>
      <c r="H51" s="56"/>
      <c r="I51" s="57"/>
      <c r="J51" s="155" t="s">
        <v>34</v>
      </c>
      <c r="K51" s="156"/>
      <c r="L51" s="156"/>
      <c r="M51" s="156"/>
      <c r="N51" s="60" t="s">
        <v>10</v>
      </c>
      <c r="O51" s="66">
        <f>O46</f>
        <v>5000</v>
      </c>
    </row>
    <row r="52" spans="1:15" ht="12.95" customHeight="1" x14ac:dyDescent="0.25">
      <c r="A52" s="152"/>
      <c r="B52" s="152"/>
      <c r="C52" s="152"/>
      <c r="D52" s="152"/>
      <c r="E52" s="152"/>
      <c r="F52" s="152"/>
      <c r="G52" s="152"/>
      <c r="H52" s="56"/>
      <c r="I52" s="57"/>
      <c r="J52" s="155" t="s">
        <v>35</v>
      </c>
      <c r="K52" s="156"/>
      <c r="L52" s="156"/>
      <c r="M52" s="156"/>
      <c r="N52" s="61" t="s">
        <v>10</v>
      </c>
      <c r="O52" s="66">
        <f>G43+O43</f>
        <v>0</v>
      </c>
    </row>
    <row r="53" spans="1:15" ht="12.95" customHeight="1" x14ac:dyDescent="0.25">
      <c r="A53" s="152" t="s">
        <v>93</v>
      </c>
      <c r="B53" s="152"/>
      <c r="C53" s="152"/>
      <c r="D53" s="152"/>
      <c r="E53" s="152"/>
      <c r="F53" s="152"/>
      <c r="G53" s="152"/>
      <c r="H53" s="56"/>
      <c r="I53" s="57"/>
      <c r="J53" s="155" t="s">
        <v>36</v>
      </c>
      <c r="K53" s="156"/>
      <c r="L53" s="156"/>
      <c r="M53" s="156"/>
      <c r="N53" s="60" t="s">
        <v>10</v>
      </c>
      <c r="O53" s="66">
        <v>15600</v>
      </c>
    </row>
    <row r="54" spans="1:15" ht="12.95" customHeight="1" x14ac:dyDescent="0.25">
      <c r="A54" s="152"/>
      <c r="B54" s="152"/>
      <c r="C54" s="152"/>
      <c r="D54" s="152"/>
      <c r="E54" s="152"/>
      <c r="F54" s="152"/>
      <c r="G54" s="152"/>
      <c r="H54" s="56"/>
      <c r="I54" s="57"/>
      <c r="J54" s="155" t="s">
        <v>37</v>
      </c>
      <c r="K54" s="156"/>
      <c r="L54" s="156"/>
      <c r="M54" s="156"/>
      <c r="N54" s="60" t="s">
        <v>10</v>
      </c>
      <c r="O54" s="66">
        <v>0</v>
      </c>
    </row>
    <row r="55" spans="1:15" ht="12.95" customHeight="1" x14ac:dyDescent="0.25">
      <c r="A55" s="152"/>
      <c r="B55" s="152"/>
      <c r="C55" s="152"/>
      <c r="D55" s="152"/>
      <c r="E55" s="152"/>
      <c r="F55" s="152"/>
      <c r="G55" s="152"/>
      <c r="H55" s="56"/>
      <c r="I55" s="56"/>
      <c r="J55" s="64"/>
      <c r="K55" s="65"/>
      <c r="L55" s="103" t="s">
        <v>38</v>
      </c>
      <c r="M55" s="104"/>
      <c r="N55" s="42" t="s">
        <v>10</v>
      </c>
      <c r="O55" s="67">
        <f>SUM(O48:O54)</f>
        <v>31168</v>
      </c>
    </row>
    <row r="56" spans="1:15" ht="12.95" customHeight="1" x14ac:dyDescent="0.25">
      <c r="A56" s="152"/>
      <c r="B56" s="152"/>
      <c r="C56" s="152"/>
      <c r="D56" s="152"/>
      <c r="E56" s="152"/>
      <c r="F56" s="152"/>
      <c r="G56" s="152"/>
    </row>
    <row r="57" spans="1:15" x14ac:dyDescent="0.25">
      <c r="A57" s="152"/>
      <c r="B57" s="152"/>
      <c r="C57" s="152"/>
      <c r="D57" s="152"/>
      <c r="E57" s="152"/>
      <c r="F57" s="152"/>
      <c r="G57" s="152"/>
      <c r="J57" s="105" t="s">
        <v>54</v>
      </c>
      <c r="K57" s="105"/>
      <c r="L57" s="105"/>
      <c r="M57" s="105"/>
      <c r="N57" s="105"/>
      <c r="O57" s="59">
        <v>46080</v>
      </c>
    </row>
  </sheetData>
  <mergeCells count="71">
    <mergeCell ref="B48:G48"/>
    <mergeCell ref="A49:G52"/>
    <mergeCell ref="A53:G57"/>
    <mergeCell ref="A45:O45"/>
    <mergeCell ref="E40:F40"/>
    <mergeCell ref="J52:M52"/>
    <mergeCell ref="A42:G42"/>
    <mergeCell ref="I42:O42"/>
    <mergeCell ref="J53:M53"/>
    <mergeCell ref="J54:M54"/>
    <mergeCell ref="A46:J46"/>
    <mergeCell ref="J48:M48"/>
    <mergeCell ref="J49:M49"/>
    <mergeCell ref="J50:M50"/>
    <mergeCell ref="J51:M51"/>
    <mergeCell ref="K46:M46"/>
    <mergeCell ref="D17:F17"/>
    <mergeCell ref="A20:O20"/>
    <mergeCell ref="I18:O18"/>
    <mergeCell ref="B40:C40"/>
    <mergeCell ref="J40:K40"/>
    <mergeCell ref="M40:N40"/>
    <mergeCell ref="I25:J25"/>
    <mergeCell ref="A27:G27"/>
    <mergeCell ref="I27:O27"/>
    <mergeCell ref="I21:J21"/>
    <mergeCell ref="I22:J22"/>
    <mergeCell ref="I23:J23"/>
    <mergeCell ref="I24:J24"/>
    <mergeCell ref="K25:M25"/>
    <mergeCell ref="F25:G25"/>
    <mergeCell ref="D18:F18"/>
    <mergeCell ref="I17:O17"/>
    <mergeCell ref="A17:C17"/>
    <mergeCell ref="A43:B43"/>
    <mergeCell ref="I43:J43"/>
    <mergeCell ref="A11:O11"/>
    <mergeCell ref="I12:O12"/>
    <mergeCell ref="I13:O13"/>
    <mergeCell ref="I14:O14"/>
    <mergeCell ref="I15:O15"/>
    <mergeCell ref="A13:C13"/>
    <mergeCell ref="A14:C14"/>
    <mergeCell ref="A15:C15"/>
    <mergeCell ref="D12:F12"/>
    <mergeCell ref="D13:F13"/>
    <mergeCell ref="D14:F14"/>
    <mergeCell ref="D15:F15"/>
    <mergeCell ref="D9:N9"/>
    <mergeCell ref="D7:H7"/>
    <mergeCell ref="L7:O7"/>
    <mergeCell ref="A12:C12"/>
    <mergeCell ref="I16:O16"/>
    <mergeCell ref="A16:C16"/>
    <mergeCell ref="D16:F16"/>
    <mergeCell ref="L55:M55"/>
    <mergeCell ref="J57:N57"/>
    <mergeCell ref="I2:O2"/>
    <mergeCell ref="C24:H24"/>
    <mergeCell ref="C21:H21"/>
    <mergeCell ref="C23:H23"/>
    <mergeCell ref="L21:M21"/>
    <mergeCell ref="L22:M22"/>
    <mergeCell ref="L23:M23"/>
    <mergeCell ref="L24:M24"/>
    <mergeCell ref="C22:H22"/>
    <mergeCell ref="A18:C18"/>
    <mergeCell ref="A5:O5"/>
    <mergeCell ref="A9:C9"/>
    <mergeCell ref="A7:C7"/>
    <mergeCell ref="I7:K7"/>
  </mergeCells>
  <printOptions horizontalCentered="1" verticalCentered="1"/>
  <pageMargins left="0.7" right="0.7" top="0.75" bottom="0.75" header="0.3" footer="0.3"/>
  <pageSetup scale="85" orientation="portrait" r:id="rId1"/>
  <headerFooter>
    <oddFooter>&amp;LSQ FORM X2_2026 REV. 1</oddFooter>
  </headerFooter>
  <rowBreaks count="1" manualBreakCount="1">
    <brk id="58"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6C1-1031-4410-8195-5CBB9DAE7003}">
  <dimension ref="A5:D48"/>
  <sheetViews>
    <sheetView zoomScaleNormal="100" workbookViewId="0">
      <selection activeCell="H33" sqref="H33"/>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70" t="s">
        <v>55</v>
      </c>
    </row>
    <row r="6" spans="1:4" ht="15.75" x14ac:dyDescent="0.25">
      <c r="A6" s="70"/>
    </row>
    <row r="7" spans="1:4" x14ac:dyDescent="0.25">
      <c r="A7" s="71" t="s">
        <v>94</v>
      </c>
    </row>
    <row r="8" spans="1:4" ht="15.75" thickBot="1" x14ac:dyDescent="0.3">
      <c r="A8" s="71"/>
    </row>
    <row r="9" spans="1:4" x14ac:dyDescent="0.25">
      <c r="A9" s="91"/>
      <c r="B9" s="92"/>
      <c r="C9" s="92"/>
      <c r="D9" s="92"/>
    </row>
    <row r="10" spans="1:4" ht="14.45" customHeight="1" x14ac:dyDescent="0.25">
      <c r="A10" s="93" t="s">
        <v>56</v>
      </c>
      <c r="B10" s="94" t="s">
        <v>57</v>
      </c>
      <c r="C10" s="94" t="s">
        <v>58</v>
      </c>
      <c r="D10" s="94" t="s">
        <v>59</v>
      </c>
    </row>
    <row r="11" spans="1:4" ht="15.75" thickBot="1" x14ac:dyDescent="0.3">
      <c r="A11" s="95"/>
      <c r="B11" s="96" t="s">
        <v>60</v>
      </c>
      <c r="C11" s="97"/>
      <c r="D11" s="97"/>
    </row>
    <row r="12" spans="1:4" ht="12.6" customHeight="1" x14ac:dyDescent="0.25">
      <c r="A12" s="72"/>
      <c r="B12" s="161" t="s">
        <v>95</v>
      </c>
      <c r="C12" s="161">
        <v>4</v>
      </c>
      <c r="D12" s="73" t="s">
        <v>61</v>
      </c>
    </row>
    <row r="13" spans="1:4" ht="12.6" customHeight="1" x14ac:dyDescent="0.25">
      <c r="A13" s="72" t="s">
        <v>62</v>
      </c>
      <c r="B13" s="162"/>
      <c r="C13" s="162"/>
      <c r="D13" s="74" t="s">
        <v>63</v>
      </c>
    </row>
    <row r="14" spans="1:4" ht="12.6" customHeight="1" thickBot="1" x14ac:dyDescent="0.3">
      <c r="A14" s="75"/>
      <c r="B14" s="163"/>
      <c r="C14" s="163"/>
      <c r="D14" s="76" t="s">
        <v>64</v>
      </c>
    </row>
    <row r="15" spans="1:4" ht="12.6" customHeight="1" x14ac:dyDescent="0.25">
      <c r="A15" s="77"/>
      <c r="B15" s="161" t="s">
        <v>96</v>
      </c>
      <c r="C15" s="161">
        <v>4</v>
      </c>
      <c r="D15" s="73" t="s">
        <v>65</v>
      </c>
    </row>
    <row r="16" spans="1:4" ht="12.6" customHeight="1" x14ac:dyDescent="0.25">
      <c r="A16" s="72" t="s">
        <v>66</v>
      </c>
      <c r="B16" s="162"/>
      <c r="C16" s="162"/>
      <c r="D16" s="73" t="s">
        <v>67</v>
      </c>
    </row>
    <row r="17" spans="1:4" ht="12.6" customHeight="1" thickBot="1" x14ac:dyDescent="0.3">
      <c r="A17" s="75"/>
      <c r="B17" s="163"/>
      <c r="C17" s="163"/>
      <c r="D17" s="76" t="s">
        <v>68</v>
      </c>
    </row>
    <row r="18" spans="1:4" x14ac:dyDescent="0.25">
      <c r="A18" s="98"/>
      <c r="B18" s="94"/>
      <c r="C18" s="94"/>
      <c r="D18" s="94"/>
    </row>
    <row r="19" spans="1:4" ht="12" customHeight="1" x14ac:dyDescent="0.25">
      <c r="A19" s="93" t="s">
        <v>69</v>
      </c>
      <c r="B19" s="94" t="s">
        <v>57</v>
      </c>
      <c r="C19" s="94" t="s">
        <v>58</v>
      </c>
      <c r="D19" s="94" t="s">
        <v>59</v>
      </c>
    </row>
    <row r="20" spans="1:4" ht="16.149999999999999" customHeight="1" thickBot="1" x14ac:dyDescent="0.3">
      <c r="A20" s="100"/>
      <c r="B20" s="96" t="s">
        <v>60</v>
      </c>
      <c r="C20" s="101"/>
      <c r="D20" s="101"/>
    </row>
    <row r="21" spans="1:4" ht="12.6" customHeight="1" x14ac:dyDescent="0.25">
      <c r="A21" s="78"/>
      <c r="B21" s="161" t="s">
        <v>97</v>
      </c>
      <c r="C21" s="161">
        <v>8</v>
      </c>
      <c r="D21" s="73" t="s">
        <v>70</v>
      </c>
    </row>
    <row r="22" spans="1:4" ht="12.6" customHeight="1" x14ac:dyDescent="0.25">
      <c r="A22" s="72" t="s">
        <v>71</v>
      </c>
      <c r="B22" s="162"/>
      <c r="C22" s="162"/>
      <c r="D22" s="73" t="s">
        <v>72</v>
      </c>
    </row>
    <row r="23" spans="1:4" ht="12.6" customHeight="1" thickBot="1" x14ac:dyDescent="0.3">
      <c r="A23" s="79"/>
      <c r="B23" s="163"/>
      <c r="C23" s="163"/>
      <c r="D23" s="76" t="s">
        <v>98</v>
      </c>
    </row>
    <row r="24" spans="1:4" ht="12.6" customHeight="1" x14ac:dyDescent="0.25">
      <c r="A24" s="72"/>
      <c r="B24" s="161" t="s">
        <v>99</v>
      </c>
      <c r="C24" s="161">
        <v>8</v>
      </c>
      <c r="D24" s="73" t="s">
        <v>70</v>
      </c>
    </row>
    <row r="25" spans="1:4" ht="13.15" customHeight="1" x14ac:dyDescent="0.25">
      <c r="A25" s="80" t="s">
        <v>73</v>
      </c>
      <c r="B25" s="162"/>
      <c r="C25" s="162"/>
      <c r="D25" s="73" t="s">
        <v>74</v>
      </c>
    </row>
    <row r="26" spans="1:4" ht="12.6" customHeight="1" thickBot="1" x14ac:dyDescent="0.3">
      <c r="A26" s="79" t="s">
        <v>75</v>
      </c>
      <c r="B26" s="163"/>
      <c r="C26" s="163"/>
      <c r="D26" s="76" t="s">
        <v>100</v>
      </c>
    </row>
    <row r="27" spans="1:4" ht="12.6" customHeight="1" x14ac:dyDescent="0.25">
      <c r="A27" s="81"/>
      <c r="B27" s="82"/>
      <c r="C27" s="82"/>
      <c r="D27" s="83"/>
    </row>
    <row r="28" spans="1:4" ht="12.6" customHeight="1" x14ac:dyDescent="0.25">
      <c r="A28" s="71"/>
    </row>
    <row r="29" spans="1:4" ht="12.6" customHeight="1" x14ac:dyDescent="0.25">
      <c r="A29" s="84" t="s">
        <v>76</v>
      </c>
    </row>
    <row r="30" spans="1:4" ht="12.6" customHeight="1" x14ac:dyDescent="0.25">
      <c r="A30" s="71"/>
    </row>
    <row r="31" spans="1:4" x14ac:dyDescent="0.25">
      <c r="A31" s="84" t="s">
        <v>77</v>
      </c>
    </row>
    <row r="32" spans="1:4" x14ac:dyDescent="0.25">
      <c r="A32" s="71"/>
    </row>
    <row r="33" spans="1:4" x14ac:dyDescent="0.25">
      <c r="A33" s="84" t="s">
        <v>78</v>
      </c>
    </row>
    <row r="34" spans="1:4" x14ac:dyDescent="0.25">
      <c r="A34" s="71"/>
    </row>
    <row r="35" spans="1:4" ht="15" customHeight="1" x14ac:dyDescent="0.25">
      <c r="A35" s="173" t="s">
        <v>79</v>
      </c>
      <c r="B35" s="173"/>
      <c r="C35" s="173"/>
      <c r="D35" s="173"/>
    </row>
    <row r="36" spans="1:4" x14ac:dyDescent="0.25">
      <c r="A36" s="174" t="s">
        <v>80</v>
      </c>
      <c r="B36" s="174"/>
      <c r="C36" s="174"/>
      <c r="D36" s="174"/>
    </row>
    <row r="37" spans="1:4" x14ac:dyDescent="0.25">
      <c r="A37" s="85"/>
      <c r="B37" s="85"/>
      <c r="C37" s="85"/>
      <c r="D37" s="85"/>
    </row>
    <row r="39" spans="1:4" x14ac:dyDescent="0.25">
      <c r="A39" s="86" t="s">
        <v>81</v>
      </c>
      <c r="B39" s="175" t="s">
        <v>101</v>
      </c>
      <c r="C39" s="175"/>
      <c r="D39" s="175"/>
    </row>
    <row r="41" spans="1:4" x14ac:dyDescent="0.25">
      <c r="A41" s="102" t="s">
        <v>82</v>
      </c>
      <c r="B41" s="176" t="s">
        <v>83</v>
      </c>
      <c r="C41" s="176"/>
      <c r="D41" s="99" t="s">
        <v>84</v>
      </c>
    </row>
    <row r="42" spans="1:4" x14ac:dyDescent="0.25">
      <c r="A42" s="87" t="s">
        <v>107</v>
      </c>
      <c r="B42" s="164">
        <v>4</v>
      </c>
      <c r="C42" s="164"/>
      <c r="D42" s="88">
        <v>15600</v>
      </c>
    </row>
    <row r="43" spans="1:4" x14ac:dyDescent="0.25">
      <c r="A43" s="165" t="s">
        <v>85</v>
      </c>
      <c r="B43" s="165"/>
      <c r="C43" s="165"/>
      <c r="D43" s="165"/>
    </row>
    <row r="44" spans="1:4" x14ac:dyDescent="0.25">
      <c r="A44" s="166"/>
      <c r="B44" s="166"/>
      <c r="C44" s="166"/>
      <c r="D44" s="166"/>
    </row>
    <row r="45" spans="1:4" x14ac:dyDescent="0.25">
      <c r="A45" s="167"/>
      <c r="B45" s="168"/>
      <c r="C45" s="168"/>
      <c r="D45" s="169"/>
    </row>
    <row r="46" spans="1:4" x14ac:dyDescent="0.25">
      <c r="A46" s="170"/>
      <c r="B46" s="171"/>
      <c r="C46" s="171"/>
      <c r="D46" s="172"/>
    </row>
    <row r="47" spans="1:4" x14ac:dyDescent="0.25">
      <c r="A47" s="89"/>
      <c r="B47" s="90" t="s">
        <v>86</v>
      </c>
      <c r="C47" s="90"/>
      <c r="D47" s="90"/>
    </row>
    <row r="48" spans="1:4" ht="14.45" customHeight="1" x14ac:dyDescent="0.25"/>
  </sheetData>
  <mergeCells count="15">
    <mergeCell ref="B42:C42"/>
    <mergeCell ref="A43:D44"/>
    <mergeCell ref="A45:D46"/>
    <mergeCell ref="B24:B26"/>
    <mergeCell ref="C24:C26"/>
    <mergeCell ref="A35:D35"/>
    <mergeCell ref="A36:D36"/>
    <mergeCell ref="B39:D39"/>
    <mergeCell ref="B41:C41"/>
    <mergeCell ref="B12:B14"/>
    <mergeCell ref="C12:C14"/>
    <mergeCell ref="B15:B17"/>
    <mergeCell ref="C15:C17"/>
    <mergeCell ref="B21:B23"/>
    <mergeCell ref="C21:C23"/>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SERVICE QUOTE</vt:lpstr>
      <vt:lpstr>CALIBRATION RATES</vt:lpstr>
      <vt:lpstr>'CALIBRATION RATES'!Print_Area</vt:lpstr>
      <vt:lpstr>'SERVICE QUOTE'!Print_Area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Meissenburg, Steven</dc:creator>
  <cp:lastModifiedBy>Bergren, Brian</cp:lastModifiedBy>
  <cp:lastPrinted>2025-12-26T14:26:25Z</cp:lastPrinted>
  <dcterms:created xsi:type="dcterms:W3CDTF">2025-01-08T13:45:49Z</dcterms:created>
  <dcterms:modified xsi:type="dcterms:W3CDTF">2026-02-27T19:49:40Z</dcterms:modified>
</cp:coreProperties>
</file>