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defaultThemeVersion="124226"/>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16" documentId="8_{F0DF7C12-12D5-4C2D-AAC9-60EE9D09DD74}" xr6:coauthVersionLast="47" xr6:coauthVersionMax="47" xr10:uidLastSave="{82E5A227-A091-4512-93BD-26052CD0FCF9}"/>
  <bookViews>
    <workbookView xWindow="-120" yWindow="-120" windowWidth="24240" windowHeight="17640" xr2:uid="{00000000-000D-0000-FFFF-FFFF00000000}"/>
  </bookViews>
  <sheets>
    <sheet name="SERVICE QUOTE" sheetId="1" r:id="rId1"/>
    <sheet name="BIB - CALIBRATION RATES" sheetId="3" r:id="rId2"/>
  </sheets>
  <definedNames>
    <definedName name="_xlnm.Print_Area" localSheetId="1">'BIB - CALIBRATION RATES'!$A$1:$D$46</definedName>
    <definedName name="_xlnm.Print_Area" localSheetId="0">'SERVICE QUOTE'!$A$1:$J$58</definedName>
    <definedName name="travel">'SERVICE QUOTE'!$C$14,'SERVICE QUOTE'!$C$15</definedName>
    <definedName name="travell">'SERVICE QUOTE'!$C$14,'SERVICE QUOTE'!$C$15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43" i="1" l="1"/>
  <c r="J51" i="1" s="1"/>
  <c r="J50" i="1"/>
  <c r="A39" i="1" l="1"/>
  <c r="A37" i="1"/>
  <c r="A35" i="1"/>
  <c r="A33" i="1"/>
  <c r="A31" i="1"/>
  <c r="A29" i="1"/>
  <c r="C22" i="1"/>
  <c r="C23" i="1" s="1"/>
  <c r="F40" i="1"/>
  <c r="F25" i="1"/>
  <c r="J29" i="1" l="1"/>
  <c r="J30" i="1"/>
  <c r="J32" i="1"/>
  <c r="J33" i="1"/>
  <c r="J34" i="1"/>
  <c r="J35" i="1"/>
  <c r="J36" i="1"/>
  <c r="J37" i="1"/>
  <c r="J38" i="1"/>
  <c r="J39" i="1"/>
  <c r="J28" i="1"/>
  <c r="J22" i="1"/>
  <c r="J23" i="1"/>
  <c r="J24" i="1"/>
  <c r="J21" i="1"/>
  <c r="J40" i="1" l="1"/>
  <c r="J49" i="1" s="1"/>
  <c r="J25" i="1"/>
  <c r="J48" i="1" s="1"/>
  <c r="J54" i="1" l="1"/>
</calcChain>
</file>

<file path=xl/sharedStrings.xml><?xml version="1.0" encoding="utf-8"?>
<sst xmlns="http://schemas.openxmlformats.org/spreadsheetml/2006/main" count="167" uniqueCount="100">
  <si>
    <t>SCOPE OF VISIT:</t>
  </si>
  <si>
    <t>CUSTOMER:</t>
  </si>
  <si>
    <t>OVERTIME</t>
  </si>
  <si>
    <t>PREMIUM TIME</t>
  </si>
  <si>
    <t>TRAVEL TIME</t>
  </si>
  <si>
    <t>EXPENSES</t>
  </si>
  <si>
    <t>TO:</t>
  </si>
  <si>
    <t>FROM:</t>
  </si>
  <si>
    <t xml:space="preserve"> HRS    X</t>
  </si>
  <si>
    <t>AT COST</t>
  </si>
  <si>
    <t>INCLUDES: AIRFARE OR MILEAGE, HOTEL, MEALS, MISC.</t>
  </si>
  <si>
    <t>CITY/STATE</t>
  </si>
  <si>
    <t>=</t>
  </si>
  <si>
    <t>TRAVEL SUBTOTAL</t>
  </si>
  <si>
    <t>LABOR</t>
  </si>
  <si>
    <t>SUNDAY</t>
  </si>
  <si>
    <t>TUESDAY</t>
  </si>
  <si>
    <t>WEDNESDAY</t>
  </si>
  <si>
    <t>THURSDAY</t>
  </si>
  <si>
    <t>FRIDAY</t>
  </si>
  <si>
    <t>SATURDAY</t>
  </si>
  <si>
    <t xml:space="preserve">MONDAY </t>
  </si>
  <si>
    <t>REG</t>
  </si>
  <si>
    <t>OT</t>
  </si>
  <si>
    <t>DBL</t>
  </si>
  <si>
    <t>LABOR SUBTOTAL</t>
  </si>
  <si>
    <t>EXPENSE SUBTOTAL</t>
  </si>
  <si>
    <t>BILLED AT COST (INCLUDES: AIRFARE OR MILEAGE, HOTEL, MEALS, MISC.)</t>
  </si>
  <si>
    <t>GRAND TOTAL</t>
  </si>
  <si>
    <t xml:space="preserve">TOTAL HRS  = </t>
  </si>
  <si>
    <t>NOTE:</t>
  </si>
  <si>
    <t>FIELD SERVICE RATES - USA</t>
  </si>
  <si>
    <t>M-F 8AM-4PM</t>
  </si>
  <si>
    <t>TRAVEL TIME DOOR TO DOOR MONDAY - FRIDAY</t>
  </si>
  <si>
    <t>PREMIUM 1 TRAVEL TIME</t>
  </si>
  <si>
    <t>PREMIUM 2 TRAVEL TIME</t>
  </si>
  <si>
    <t>TRAVEL TIME ON SATURDAY</t>
  </si>
  <si>
    <t>TRAVEL TIME ON SUNDAYS &amp; HOLIDAYS</t>
  </si>
  <si>
    <t>Calibration Service Rates</t>
  </si>
  <si>
    <t>Fixed Cost</t>
  </si>
  <si>
    <t>8am-4pm</t>
  </si>
  <si>
    <t>Est Hours</t>
  </si>
  <si>
    <t>Included In Cost</t>
  </si>
  <si>
    <t>VST Annual Calibration</t>
  </si>
  <si>
    <r>
      <t>·</t>
    </r>
    <r>
      <rPr>
        <sz val="7"/>
        <color theme="1"/>
        <rFont val="Times New Roman"/>
        <family val="1"/>
      </rPr>
      <t xml:space="preserve">        </t>
    </r>
    <r>
      <rPr>
        <sz val="8"/>
        <color theme="1"/>
        <rFont val="Cambria"/>
        <family val="1"/>
      </rPr>
      <t>Basic Annual PM Parts</t>
    </r>
  </si>
  <si>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</si>
  <si>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</si>
  <si>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t>RTD Annual Calibration</t>
  </si>
  <si>
    <r>
      <t>·</t>
    </r>
    <r>
      <rPr>
        <sz val="7"/>
        <color theme="1"/>
        <rFont val="Times New Roman"/>
        <family val="1"/>
      </rPr>
      <t xml:space="preserve">        </t>
    </r>
    <r>
      <rPr>
        <sz val="8"/>
        <color theme="1"/>
        <rFont val="Cambria"/>
        <family val="1"/>
      </rPr>
      <t>Certs for each RTD</t>
    </r>
  </si>
  <si>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</si>
  <si>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</si>
  <si>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</si>
  <si>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t>VST &amp; RTD Calibration (Same Day)</t>
  </si>
  <si>
    <r>
      <t>·</t>
    </r>
    <r>
      <rPr>
        <sz val="7"/>
        <color theme="1"/>
        <rFont val="Times New Roman"/>
        <family val="1"/>
      </rPr>
      <t xml:space="preserve">        </t>
    </r>
    <r>
      <rPr>
        <sz val="8"/>
        <color theme="1"/>
        <rFont val="Cambria"/>
        <family val="1"/>
      </rPr>
      <t>Includes all of the above</t>
    </r>
  </si>
  <si>
    <r>
      <t>·</t>
    </r>
    <r>
      <rPr>
        <sz val="7"/>
        <color theme="1"/>
        <rFont val="Times New Roman"/>
        <family val="1"/>
      </rPr>
      <t xml:space="preserve">        </t>
    </r>
    <r>
      <rPr>
        <sz val="8"/>
        <color theme="1"/>
        <rFont val="Cambria"/>
        <family val="1"/>
      </rPr>
      <t>Must be same day</t>
    </r>
  </si>
  <si>
    <t>VST &amp; RTD Calibration Multi-Machine Discount</t>
  </si>
  <si>
    <t xml:space="preserve"> (3 or more machines on same visit)</t>
  </si>
  <si>
    <r>
      <t>·</t>
    </r>
    <r>
      <rPr>
        <sz val="7"/>
        <color theme="1"/>
        <rFont val="Times New Roman"/>
        <family val="1"/>
      </rPr>
      <t xml:space="preserve">        </t>
    </r>
    <r>
      <rPr>
        <sz val="8"/>
        <color theme="1"/>
        <rFont val="Cambria"/>
        <family val="1"/>
      </rPr>
      <t>Must be same visit</t>
    </r>
  </si>
  <si>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</si>
  <si>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</si>
  <si>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t>Calibration Package Offered</t>
  </si>
  <si>
    <t>Number Of Machines</t>
  </si>
  <si>
    <t>Total Cost</t>
  </si>
  <si>
    <t>Calibration Offering For :</t>
  </si>
  <si>
    <t>Notes:</t>
  </si>
  <si>
    <t>PREPARATION TIME</t>
  </si>
  <si>
    <t>PREPARATION SUBTOTAL</t>
  </si>
  <si>
    <t>Quoted by Brian Bergren on:</t>
  </si>
  <si>
    <t xml:space="preserve">    PAGE 2</t>
  </si>
  <si>
    <t>SIG SERVICE QUOTE - STANDARD RATES USD</t>
  </si>
  <si>
    <t>REGULAR TIME</t>
  </si>
  <si>
    <t>(SEE PAGE 2)      CALIBRATION SUBTOTAL</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</si>
  <si>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</si>
  <si>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 xml:space="preserve">      SALES ACCOMMODATION SUBTOTAL</t>
  </si>
  <si>
    <t>Field Service Calibration Offerings – SIG</t>
  </si>
  <si>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</si>
  <si>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</si>
  <si>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</si>
  <si>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$208.00/HR</t>
  </si>
  <si>
    <t>$312.00/HR</t>
  </si>
  <si>
    <t>$416.00/HR</t>
  </si>
  <si>
    <t>$181.00/HR</t>
  </si>
  <si>
    <t>$272.00/HR</t>
  </si>
  <si>
    <t>$362.00/HR</t>
  </si>
  <si>
    <t>M-F 4PM-8AM/WEEKDAYS OVER 8HRS</t>
  </si>
  <si>
    <t>SATURDAY, SUNDAY &amp; HOLIDAYS</t>
  </si>
  <si>
    <r>
      <t>Unchanged since January 1</t>
    </r>
    <r>
      <rPr>
        <vertAlign val="superscript"/>
        <sz val="10"/>
        <color theme="1"/>
        <rFont val="Cambria"/>
        <family val="1"/>
      </rPr>
      <t>st</t>
    </r>
    <r>
      <rPr>
        <sz val="10"/>
        <color theme="1"/>
        <rFont val="Cambria"/>
        <family val="1"/>
      </rPr>
      <t>, 2026</t>
    </r>
  </si>
  <si>
    <t>$4,550 / Machine</t>
  </si>
  <si>
    <t>$2,275 / Machine</t>
  </si>
  <si>
    <t>$5,850 / Machine</t>
  </si>
  <si>
    <t>$3,900 / Machine</t>
  </si>
  <si>
    <r>
      <t>·</t>
    </r>
    <r>
      <rPr>
        <sz val="7"/>
        <color theme="1"/>
        <rFont val="Times New Roman"/>
        <family val="1"/>
      </rPr>
      <t xml:space="preserve">        </t>
    </r>
    <r>
      <rPr>
        <sz val="8"/>
        <color theme="1"/>
        <rFont val="Cambria"/>
        <family val="1"/>
      </rPr>
      <t>$975.00 discount</t>
    </r>
  </si>
  <si>
    <r>
      <t>·</t>
    </r>
    <r>
      <rPr>
        <sz val="7"/>
        <color theme="1"/>
        <rFont val="Times New Roman"/>
        <family val="1"/>
      </rPr>
      <t xml:space="preserve">        </t>
    </r>
    <r>
      <rPr>
        <sz val="8"/>
        <color theme="1"/>
        <rFont val="Cambria"/>
        <family val="1"/>
      </rPr>
      <t>Additional $1.950.00 discount</t>
    </r>
  </si>
  <si>
    <t>“Terms and Conditions: If there is an existing written agreement between Customer and SIG governing the sale of the products or services quoted herein, the terms of that agreement shall apply. In the absence of such agreement, this Quotation and any resulting orders are subject to SIG’s General Terms and Conditions of Sale, a current copy of which can be found at https://www.sig.biz/en/general-terms-and-conditions-for-customers (“GTC”). By placing an order, Customer agrees to be bound by the GTC, which are incorporated by reference. Any terms in Customer’s purchase order or other documents that are different from, or in addition to, the GTC are expressly rejected and shall have no effect unless accepted by SIG in a signed writing.”</t>
  </si>
  <si>
    <t>Chicago</t>
  </si>
  <si>
    <t>Saputo Frederick</t>
  </si>
  <si>
    <t>QUOTE #:20260126</t>
  </si>
  <si>
    <t>Peace River</t>
  </si>
  <si>
    <t>Bartow, FL</t>
  </si>
  <si>
    <t>Trail run change over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</si>
</sst>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0"/>
    <numFmt numFmtId="165" formatCode="m/d/yy;@"/>
    <numFmt numFmtId="166" formatCode="&quot;$&quot;#,##0"/>
  </numFmts>
  <fonts count="33" x14ac:knownFonts="1">
    <font>
      <sz val="11"/>
      <color theme="1"/>
      <name val="Calibri"/>
      <family val="2"/>
      <scheme val="minor"/>
    </font>
    <font>
      <sz val="8"/>
      <color theme="1"/>
      <name val="Calibri"/>
      <family val="2"/>
      <scheme val="minor"/>
    </font>
    <font>
      <b/>
      <sz val="8"/>
      <color theme="1"/>
      <name val="Calibri"/>
      <family val="2"/>
      <scheme val="minor"/>
    </font>
    <font>
      <b/>
      <sz val="12"/>
      <color theme="1"/>
      <name val="Franklin Gothic Demi Cond"/>
      <family val="2"/>
    </font>
    <font>
      <sz val="10"/>
      <color theme="1"/>
      <name val="Franklin Gothic Demi Cond"/>
      <family val="2"/>
    </font>
    <font>
      <sz val="10"/>
      <color theme="1"/>
      <name val="Franklin Gothic Demi"/>
      <family val="2"/>
    </font>
    <font>
      <b/>
      <sz val="10"/>
      <color theme="1"/>
      <name val="Calibri"/>
      <family val="2"/>
      <scheme val="minor"/>
    </font>
    <font>
      <b/>
      <sz val="10"/>
      <color rgb="FFFF0000"/>
      <name val="Calibri"/>
      <family val="2"/>
      <scheme val="minor"/>
    </font>
    <font>
      <sz val="8"/>
      <color theme="1" tint="4.9989318521683403E-2"/>
      <name val="Calibri"/>
      <family val="2"/>
      <scheme val="minor"/>
    </font>
    <font>
      <b/>
      <sz val="11"/>
      <color theme="1"/>
      <name val="Calibri"/>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12"/>
      <color rgb="FFFFFFFF"/>
      <name val="Cambria"/>
      <family val="1"/>
    </font>
    <font>
      <b/>
      <sz val="9"/>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b/>
      <sz val="8"/>
      <color theme="0" tint="-0.34998626667073579"/>
      <name val="Calibri"/>
      <family val="2"/>
      <scheme val="minor"/>
    </font>
    <font>
      <b/>
      <sz val="11"/>
      <color theme="3" tint="-0.249977111117893"/>
      <name val="Calibri"/>
      <family val="2"/>
      <scheme val="minor"/>
    </font>
    <font>
      <b/>
      <sz val="10"/>
      <color theme="3"/>
      <name val="Calibri"/>
      <family val="2"/>
      <scheme val="minor"/>
    </font>
    <font>
      <sz val="11"/>
      <color theme="3"/>
      <name val="Calibri"/>
      <family val="2"/>
      <scheme val="minor"/>
    </font>
    <font>
      <sz val="10"/>
      <color theme="1"/>
      <name val="Times New Roman"/>
      <family val="1"/>
    </font>
    <font>
      <b/>
      <sz val="11"/>
      <color theme="0"/>
      <name val="Calibri"/>
      <family val="2"/>
      <scheme val="minor"/>
    </font>
    <font>
      <sz val="11"/>
      <color theme="0"/>
      <name val="Calibri"/>
      <family val="2"/>
      <scheme val="minor"/>
    </font>
    <font>
      <b/>
      <sz val="10"/>
      <color theme="0"/>
      <name val="Calibri"/>
      <family val="2"/>
      <scheme val="minor"/>
    </font>
    <font>
      <b/>
      <sz val="8"/>
      <color theme="0"/>
      <name val="Calibri"/>
      <family val="2"/>
      <scheme val="minor"/>
    </font>
    <font>
      <sz val="6"/>
      <color theme="3"/>
      <name val="PP SIG Flow"/>
      <family val="3"/>
    </font>
    <font>
      <b/>
      <sz val="10"/>
      <color theme="3" tint="-0.249977111117893"/>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78">
    <xf numFmtId="0" fontId="0" fillId="0" borderId="0" xfId="0"/>
    <xf numFmtId="0" fontId="4"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0" fontId="10" fillId="0" borderId="0" xfId="0" applyFont="1" applyAlignment="1">
      <alignment vertical="center"/>
    </xf>
    <xf numFmtId="0" fontId="11" fillId="0" borderId="0" xfId="0" applyFont="1" applyAlignment="1">
      <alignment vertical="center"/>
    </xf>
    <xf numFmtId="0" fontId="16" fillId="0" borderId="14" xfId="0" applyFont="1" applyBorder="1" applyAlignment="1">
      <alignment horizontal="center" vertical="center" wrapText="1"/>
    </xf>
    <xf numFmtId="0" fontId="0" fillId="0" borderId="15" xfId="0" applyBorder="1" applyAlignment="1">
      <alignment vertical="top" wrapText="1"/>
    </xf>
    <xf numFmtId="0" fontId="20" fillId="0" borderId="14" xfId="0" applyFont="1" applyBorder="1" applyAlignment="1">
      <alignment vertical="center" wrapText="1"/>
    </xf>
    <xf numFmtId="0" fontId="18" fillId="0" borderId="17" xfId="0" applyFont="1" applyBorder="1" applyAlignment="1">
      <alignment horizontal="left" vertical="center" wrapText="1" indent="2"/>
    </xf>
    <xf numFmtId="0" fontId="18" fillId="0" borderId="18" xfId="0" applyFont="1" applyBorder="1" applyAlignment="1">
      <alignment horizontal="left" vertical="center" wrapText="1" indent="2"/>
    </xf>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16" fillId="0" borderId="14" xfId="0" applyFont="1" applyBorder="1" applyAlignment="1">
      <alignment vertical="center" wrapText="1"/>
    </xf>
    <xf numFmtId="0" fontId="21" fillId="0" borderId="0" xfId="0" applyFont="1" applyAlignment="1">
      <alignment horizontal="left" vertical="center"/>
    </xf>
    <xf numFmtId="0" fontId="9" fillId="0" borderId="0" xfId="0" applyFont="1" applyAlignment="1">
      <alignment horizontal="right"/>
    </xf>
    <xf numFmtId="0" fontId="2" fillId="0" borderId="0" xfId="0" applyFont="1" applyAlignment="1">
      <alignment horizontal="center"/>
    </xf>
    <xf numFmtId="0" fontId="0" fillId="0" borderId="1" xfId="0" applyBorder="1" applyProtection="1">
      <protection locked="0"/>
    </xf>
    <xf numFmtId="166" fontId="0" fillId="0" borderId="1" xfId="0" applyNumberFormat="1" applyBorder="1" applyAlignment="1" applyProtection="1">
      <alignment horizontal="center"/>
      <protection locked="0"/>
    </xf>
    <xf numFmtId="0" fontId="2" fillId="0" borderId="2" xfId="0" applyFont="1" applyBorder="1" applyAlignment="1">
      <alignment wrapText="1"/>
    </xf>
    <xf numFmtId="0" fontId="22" fillId="0" borderId="2" xfId="0" applyFont="1" applyBorder="1" applyAlignment="1">
      <alignment wrapText="1"/>
    </xf>
    <xf numFmtId="0" fontId="18" fillId="0" borderId="17" xfId="0" applyFont="1" applyBorder="1" applyAlignment="1">
      <alignment horizontal="left" vertical="center" indent="2"/>
    </xf>
    <xf numFmtId="0" fontId="21" fillId="0" borderId="0" xfId="0" applyFont="1" applyAlignment="1">
      <alignment horizontal="left" vertical="center" wrapText="1"/>
    </xf>
    <xf numFmtId="0" fontId="20"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left" vertical="center" wrapText="1" indent="2"/>
    </xf>
    <xf numFmtId="0" fontId="2" fillId="3" borderId="8" xfId="0" applyFont="1" applyFill="1" applyBorder="1" applyAlignment="1">
      <alignment horizontal="right" vertical="center"/>
    </xf>
    <xf numFmtId="0" fontId="2" fillId="3" borderId="8" xfId="0" applyFont="1" applyFill="1" applyBorder="1" applyAlignment="1">
      <alignment horizontal="center" vertical="center"/>
    </xf>
    <xf numFmtId="0" fontId="2" fillId="3" borderId="10" xfId="0" applyFont="1" applyFill="1" applyBorder="1" applyAlignment="1">
      <alignment horizontal="center" vertical="center"/>
    </xf>
    <xf numFmtId="0" fontId="6" fillId="2" borderId="7" xfId="0" applyFont="1" applyFill="1" applyBorder="1" applyAlignment="1">
      <alignment horizontal="right" vertical="center"/>
    </xf>
    <xf numFmtId="0" fontId="2" fillId="2" borderId="8" xfId="0" applyFont="1" applyFill="1" applyBorder="1" applyAlignment="1">
      <alignment horizontal="right" vertical="center"/>
    </xf>
    <xf numFmtId="0" fontId="2" fillId="2" borderId="8" xfId="0" applyFont="1" applyFill="1" applyBorder="1" applyAlignment="1">
      <alignment horizontal="center" vertical="center"/>
    </xf>
    <xf numFmtId="0" fontId="2" fillId="2" borderId="10" xfId="0" applyFont="1" applyFill="1" applyBorder="1" applyAlignment="1">
      <alignment horizontal="right" vertical="center"/>
    </xf>
    <xf numFmtId="8" fontId="2" fillId="2" borderId="9" xfId="0" applyNumberFormat="1" applyFont="1" applyFill="1" applyBorder="1" applyAlignment="1">
      <alignment horizontal="righ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10" xfId="0" applyFont="1" applyFill="1" applyBorder="1" applyAlignment="1">
      <alignment horizontal="center" vertical="center"/>
    </xf>
    <xf numFmtId="8" fontId="2" fillId="2" borderId="9" xfId="0" applyNumberFormat="1" applyFont="1" applyFill="1" applyBorder="1" applyAlignment="1">
      <alignment vertical="center"/>
    </xf>
    <xf numFmtId="164" fontId="2" fillId="2" borderId="12" xfId="0" applyNumberFormat="1" applyFont="1" applyFill="1" applyBorder="1" applyAlignment="1" applyProtection="1">
      <alignment vertical="center"/>
      <protection locked="0"/>
    </xf>
    <xf numFmtId="0" fontId="1" fillId="2" borderId="10" xfId="0" applyFont="1" applyFill="1" applyBorder="1" applyAlignment="1">
      <alignment horizontal="left" vertical="center"/>
    </xf>
    <xf numFmtId="0" fontId="1" fillId="2" borderId="1" xfId="0" applyFont="1" applyFill="1" applyBorder="1" applyAlignment="1" applyProtection="1">
      <alignment horizontal="center" vertical="center"/>
      <protection locked="0"/>
    </xf>
    <xf numFmtId="8" fontId="1" fillId="2" borderId="12" xfId="0" applyNumberFormat="1" applyFont="1" applyFill="1" applyBorder="1" applyAlignment="1">
      <alignment vertical="center"/>
    </xf>
    <xf numFmtId="0" fontId="1" fillId="3" borderId="10" xfId="0" applyFont="1" applyFill="1" applyBorder="1" applyAlignment="1">
      <alignment horizontal="left" vertical="center"/>
    </xf>
    <xf numFmtId="0" fontId="1" fillId="3" borderId="1" xfId="0" applyFont="1" applyFill="1" applyBorder="1" applyAlignment="1" applyProtection="1">
      <alignment horizontal="center" vertical="center"/>
      <protection locked="0"/>
    </xf>
    <xf numFmtId="8" fontId="1" fillId="3" borderId="12" xfId="0" applyNumberFormat="1" applyFont="1" applyFill="1" applyBorder="1" applyAlignment="1">
      <alignment vertical="center"/>
    </xf>
    <xf numFmtId="0" fontId="1" fillId="3" borderId="10" xfId="0" applyFont="1" applyFill="1" applyBorder="1" applyAlignment="1">
      <alignment horizontal="left" vertical="center" wrapText="1"/>
    </xf>
    <xf numFmtId="0" fontId="1" fillId="3" borderId="1" xfId="0" applyFont="1" applyFill="1" applyBorder="1" applyAlignment="1" applyProtection="1">
      <alignment horizontal="center" vertical="center" wrapText="1"/>
      <protection locked="0"/>
    </xf>
    <xf numFmtId="0" fontId="2" fillId="2" borderId="8" xfId="0" applyFont="1" applyFill="1" applyBorder="1" applyAlignment="1">
      <alignment horizontal="center"/>
    </xf>
    <xf numFmtId="0" fontId="8" fillId="2" borderId="1" xfId="0" applyFont="1" applyFill="1" applyBorder="1" applyAlignment="1" applyProtection="1">
      <alignment horizontal="center" vertical="center"/>
      <protection locked="0"/>
    </xf>
    <xf numFmtId="8" fontId="1" fillId="2" borderId="6" xfId="0" applyNumberFormat="1" applyFont="1" applyFill="1" applyBorder="1" applyAlignment="1">
      <alignment vertical="center"/>
    </xf>
    <xf numFmtId="0" fontId="8" fillId="3" borderId="1" xfId="0" applyFont="1" applyFill="1" applyBorder="1" applyAlignment="1" applyProtection="1">
      <alignment horizontal="center" vertical="center"/>
      <protection locked="0"/>
    </xf>
    <xf numFmtId="8" fontId="1" fillId="3" borderId="9" xfId="0" applyNumberFormat="1" applyFont="1" applyFill="1" applyBorder="1" applyAlignment="1">
      <alignment vertical="center"/>
    </xf>
    <xf numFmtId="0" fontId="0" fillId="2" borderId="10" xfId="0" applyFill="1" applyBorder="1" applyAlignment="1">
      <alignment horizontal="center" vertical="center"/>
    </xf>
    <xf numFmtId="8" fontId="2" fillId="2" borderId="12" xfId="0" applyNumberFormat="1" applyFont="1" applyFill="1" applyBorder="1" applyAlignment="1">
      <alignment vertical="center"/>
    </xf>
    <xf numFmtId="0" fontId="6" fillId="2" borderId="8" xfId="0" applyFont="1" applyFill="1" applyBorder="1" applyAlignment="1">
      <alignment horizontal="center" vertical="center"/>
    </xf>
    <xf numFmtId="8" fontId="7" fillId="2" borderId="12" xfId="0" applyNumberFormat="1" applyFont="1" applyFill="1" applyBorder="1" applyAlignment="1">
      <alignment vertical="center"/>
    </xf>
    <xf numFmtId="0" fontId="29" fillId="4" borderId="10" xfId="0" applyFont="1" applyFill="1" applyBorder="1"/>
    <xf numFmtId="0" fontId="29" fillId="4" borderId="12" xfId="0" applyFont="1" applyFill="1" applyBorder="1"/>
    <xf numFmtId="0" fontId="29" fillId="4" borderId="11" xfId="0" applyFont="1" applyFill="1" applyBorder="1" applyAlignment="1">
      <alignment vertical="center"/>
    </xf>
    <xf numFmtId="0" fontId="29" fillId="4" borderId="10" xfId="0" applyFont="1" applyFill="1" applyBorder="1" applyAlignment="1">
      <alignment vertical="center"/>
    </xf>
    <xf numFmtId="0" fontId="29" fillId="4" borderId="12" xfId="0" applyFont="1" applyFill="1" applyBorder="1" applyAlignment="1">
      <alignment vertical="center"/>
    </xf>
    <xf numFmtId="0" fontId="30" fillId="4" borderId="8" xfId="0" applyFont="1" applyFill="1" applyBorder="1" applyAlignment="1">
      <alignment horizontal="center" vertical="center"/>
    </xf>
    <xf numFmtId="0" fontId="30" fillId="4" borderId="10" xfId="0" applyFont="1" applyFill="1" applyBorder="1" applyAlignment="1">
      <alignment horizontal="center" vertical="center"/>
    </xf>
    <xf numFmtId="0" fontId="28" fillId="4" borderId="11" xfId="0" applyFont="1" applyFill="1" applyBorder="1"/>
    <xf numFmtId="0" fontId="28" fillId="4" borderId="10" xfId="0" applyFont="1" applyFill="1" applyBorder="1"/>
    <xf numFmtId="0" fontId="28" fillId="4" borderId="12" xfId="0" applyFont="1" applyFill="1" applyBorder="1"/>
    <xf numFmtId="0" fontId="2" fillId="2" borderId="2" xfId="0" applyFont="1" applyFill="1" applyBorder="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 fillId="2" borderId="0" xfId="0" applyFont="1" applyFill="1" applyAlignment="1">
      <alignment horizontal="center"/>
    </xf>
    <xf numFmtId="0" fontId="2" fillId="2" borderId="0" xfId="0" applyFont="1" applyFill="1" applyAlignment="1">
      <alignment horizontal="center" vertical="center"/>
    </xf>
    <xf numFmtId="8" fontId="2" fillId="2" borderId="0" xfId="0" applyNumberFormat="1" applyFont="1" applyFill="1" applyAlignment="1">
      <alignment vertical="center"/>
    </xf>
    <xf numFmtId="8" fontId="2" fillId="3" borderId="8" xfId="0" applyNumberFormat="1" applyFont="1" applyFill="1" applyBorder="1" applyAlignment="1">
      <alignment vertical="center"/>
    </xf>
    <xf numFmtId="8" fontId="2" fillId="2" borderId="10" xfId="0" applyNumberFormat="1" applyFont="1" applyFill="1" applyBorder="1" applyAlignment="1">
      <alignment vertical="center"/>
    </xf>
    <xf numFmtId="8" fontId="2" fillId="3" borderId="10" xfId="0" applyNumberFormat="1" applyFont="1" applyFill="1" applyBorder="1" applyAlignment="1">
      <alignment vertical="center"/>
    </xf>
    <xf numFmtId="0" fontId="2" fillId="3" borderId="10" xfId="0" applyFont="1" applyFill="1" applyBorder="1" applyAlignment="1">
      <alignment horizontal="center" vertical="center" wrapText="1"/>
    </xf>
    <xf numFmtId="0" fontId="2" fillId="2" borderId="0" xfId="0" applyFont="1" applyFill="1" applyAlignment="1">
      <alignment horizontal="right" vertical="center"/>
    </xf>
    <xf numFmtId="14" fontId="1" fillId="2" borderId="5" xfId="0" applyNumberFormat="1" applyFont="1" applyFill="1" applyBorder="1" applyAlignment="1" applyProtection="1">
      <alignment horizontal="center" vertical="center"/>
      <protection locked="0"/>
    </xf>
    <xf numFmtId="14" fontId="1" fillId="3" borderId="7" xfId="0" applyNumberFormat="1" applyFont="1" applyFill="1" applyBorder="1" applyAlignment="1">
      <alignment horizontal="center" vertical="center"/>
    </xf>
    <xf numFmtId="165" fontId="1" fillId="3" borderId="7" xfId="0" applyNumberFormat="1" applyFont="1" applyFill="1" applyBorder="1" applyAlignment="1">
      <alignment horizontal="center" vertical="center"/>
    </xf>
    <xf numFmtId="14" fontId="1" fillId="2" borderId="11" xfId="0" applyNumberFormat="1" applyFont="1" applyFill="1" applyBorder="1" applyAlignment="1" applyProtection="1">
      <alignment horizontal="center" vertical="center"/>
      <protection locked="0"/>
    </xf>
    <xf numFmtId="14" fontId="1" fillId="3" borderId="11" xfId="0" applyNumberFormat="1" applyFont="1" applyFill="1" applyBorder="1" applyAlignment="1">
      <alignment horizontal="center" vertical="center"/>
    </xf>
    <xf numFmtId="14" fontId="1" fillId="2" borderId="11" xfId="0" applyNumberFormat="1" applyFont="1" applyFill="1" applyBorder="1" applyAlignment="1">
      <alignment horizontal="center" vertical="center"/>
    </xf>
    <xf numFmtId="14" fontId="1" fillId="3" borderId="11" xfId="0" applyNumberFormat="1" applyFont="1" applyFill="1" applyBorder="1" applyAlignment="1">
      <alignment horizontal="center" vertical="center" wrapText="1"/>
    </xf>
    <xf numFmtId="0" fontId="31" fillId="0" borderId="0" xfId="0" applyFont="1" applyAlignment="1">
      <alignment vertical="top" wrapText="1"/>
    </xf>
    <xf numFmtId="0" fontId="23" fillId="0" borderId="0" xfId="0" applyFont="1" applyAlignment="1" applyProtection="1">
      <alignment vertical="top"/>
      <protection locked="0"/>
    </xf>
    <xf numFmtId="0" fontId="23" fillId="0" borderId="8" xfId="0" applyFont="1" applyBorder="1" applyAlignment="1" applyProtection="1">
      <alignment vertical="top"/>
      <protection locked="0"/>
    </xf>
    <xf numFmtId="0" fontId="13" fillId="4" borderId="13"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5" fillId="4" borderId="17" xfId="0" applyFont="1" applyFill="1" applyBorder="1" applyAlignment="1">
      <alignment horizontal="center" vertical="center" wrapText="1"/>
    </xf>
    <xf numFmtId="0" fontId="0" fillId="4" borderId="15" xfId="0" applyFill="1" applyBorder="1" applyAlignment="1">
      <alignment vertical="top" wrapText="1"/>
    </xf>
    <xf numFmtId="0" fontId="15" fillId="4" borderId="18" xfId="0" applyFont="1" applyFill="1" applyBorder="1" applyAlignment="1">
      <alignment horizontal="center" vertical="center" wrapText="1"/>
    </xf>
    <xf numFmtId="0" fontId="0" fillId="4" borderId="18" xfId="0" applyFill="1" applyBorder="1" applyAlignment="1">
      <alignment vertical="top" wrapText="1"/>
    </xf>
    <xf numFmtId="0" fontId="15" fillId="4" borderId="14" xfId="0" applyFont="1" applyFill="1" applyBorder="1" applyAlignment="1">
      <alignment vertical="center" wrapText="1"/>
    </xf>
    <xf numFmtId="0" fontId="0" fillId="4" borderId="15" xfId="0" applyFill="1" applyBorder="1" applyAlignment="1">
      <alignment vertical="center" wrapText="1"/>
    </xf>
    <xf numFmtId="0" fontId="0" fillId="4" borderId="18" xfId="0" applyFill="1" applyBorder="1" applyAlignment="1">
      <alignment vertical="center" wrapText="1"/>
    </xf>
    <xf numFmtId="0" fontId="27" fillId="4" borderId="1" xfId="0" applyFont="1" applyFill="1" applyBorder="1" applyAlignment="1">
      <alignment vertical="center"/>
    </xf>
    <xf numFmtId="0" fontId="27" fillId="4" borderId="1" xfId="0" applyFont="1" applyFill="1" applyBorder="1" applyAlignment="1">
      <alignment horizontal="center" vertical="center"/>
    </xf>
    <xf numFmtId="0" fontId="30" fillId="4" borderId="11" xfId="0" applyFont="1" applyFill="1" applyBorder="1" applyAlignment="1">
      <alignment horizontal="right" vertical="center"/>
    </xf>
    <xf numFmtId="0" fontId="30" fillId="4" borderId="10" xfId="0" applyFont="1" applyFill="1" applyBorder="1" applyAlignment="1">
      <alignment horizontal="right" vertical="center"/>
    </xf>
    <xf numFmtId="0" fontId="0" fillId="0" borderId="0" xfId="0" applyAlignment="1">
      <alignment horizontal="center"/>
    </xf>
    <xf numFmtId="0" fontId="0" fillId="0" borderId="8" xfId="0" applyBorder="1" applyAlignment="1">
      <alignment horizontal="center"/>
    </xf>
    <xf numFmtId="0" fontId="2" fillId="2" borderId="10" xfId="0" applyFont="1" applyFill="1" applyBorder="1" applyAlignment="1">
      <alignment horizontal="left" vertical="center"/>
    </xf>
    <xf numFmtId="0" fontId="24" fillId="0" borderId="0" xfId="0" applyFont="1" applyAlignment="1">
      <alignment horizontal="right" vertical="center"/>
    </xf>
    <xf numFmtId="0" fontId="25" fillId="0" borderId="0" xfId="0" applyFont="1" applyAlignment="1">
      <alignment horizontal="right" vertical="center"/>
    </xf>
    <xf numFmtId="0" fontId="2" fillId="0" borderId="0" xfId="0" applyFont="1" applyAlignment="1">
      <alignment horizontal="left" vertical="center" wrapText="1"/>
    </xf>
    <xf numFmtId="0" fontId="0" fillId="0" borderId="0" xfId="0"/>
    <xf numFmtId="0" fontId="30" fillId="4" borderId="7" xfId="0" applyFont="1" applyFill="1" applyBorder="1" applyAlignment="1">
      <alignment horizontal="right" vertical="center"/>
    </xf>
    <xf numFmtId="0" fontId="30" fillId="4" borderId="8" xfId="0" applyFont="1" applyFill="1" applyBorder="1" applyAlignment="1">
      <alignment horizontal="right" vertical="center"/>
    </xf>
    <xf numFmtId="0" fontId="2" fillId="3" borderId="10" xfId="0" applyFont="1" applyFill="1" applyBorder="1" applyAlignment="1">
      <alignment horizontal="left" vertical="center" wrapText="1"/>
    </xf>
    <xf numFmtId="0" fontId="2" fillId="3" borderId="10" xfId="0" applyFont="1" applyFill="1" applyBorder="1" applyAlignment="1">
      <alignment horizontal="left" vertical="center"/>
    </xf>
    <xf numFmtId="0" fontId="2" fillId="2" borderId="10" xfId="0" applyFont="1" applyFill="1" applyBorder="1" applyAlignment="1">
      <alignment horizontal="right" vertical="center"/>
    </xf>
    <xf numFmtId="0" fontId="0" fillId="0" borderId="10" xfId="0" applyBorder="1" applyAlignment="1">
      <alignment horizontal="center"/>
    </xf>
    <xf numFmtId="0" fontId="1" fillId="2" borderId="11" xfId="0" applyFont="1" applyFill="1" applyBorder="1" applyAlignment="1">
      <alignment horizontal="left" vertical="center"/>
    </xf>
    <xf numFmtId="0" fontId="0" fillId="2" borderId="10" xfId="0" applyFill="1" applyBorder="1" applyAlignment="1">
      <alignment horizontal="left" vertical="center"/>
    </xf>
    <xf numFmtId="0" fontId="2" fillId="2" borderId="0" xfId="0" applyFont="1" applyFill="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9" fillId="4" borderId="11" xfId="0" applyFont="1" applyFill="1" applyBorder="1" applyAlignment="1">
      <alignment horizontal="left" vertical="center"/>
    </xf>
    <xf numFmtId="0" fontId="29" fillId="4" borderId="10" xfId="0" applyFont="1" applyFill="1" applyBorder="1" applyAlignment="1">
      <alignment horizontal="left" vertical="center"/>
    </xf>
    <xf numFmtId="0" fontId="1" fillId="2" borderId="11" xfId="0" applyFont="1" applyFill="1" applyBorder="1" applyAlignment="1" applyProtection="1">
      <alignment horizontal="left" vertical="center"/>
      <protection locked="0"/>
    </xf>
    <xf numFmtId="0" fontId="1" fillId="2" borderId="10" xfId="0" applyFont="1" applyFill="1" applyBorder="1" applyAlignment="1" applyProtection="1">
      <alignment horizontal="left" vertical="center"/>
      <protection locked="0"/>
    </xf>
    <xf numFmtId="0" fontId="1" fillId="2" borderId="12" xfId="0" applyFont="1" applyFill="1" applyBorder="1" applyAlignment="1" applyProtection="1">
      <alignment horizontal="left" vertical="center"/>
      <protection locked="0"/>
    </xf>
    <xf numFmtId="0" fontId="1" fillId="3" borderId="11" xfId="0" applyFont="1" applyFill="1" applyBorder="1" applyAlignment="1" applyProtection="1">
      <alignment horizontal="left" vertical="center"/>
      <protection locked="0"/>
    </xf>
    <xf numFmtId="0" fontId="1" fillId="3" borderId="10" xfId="0" applyFont="1" applyFill="1" applyBorder="1" applyAlignment="1" applyProtection="1">
      <alignment horizontal="left" vertical="center"/>
      <protection locked="0"/>
    </xf>
    <xf numFmtId="0" fontId="1" fillId="3" borderId="12" xfId="0" applyFont="1" applyFill="1" applyBorder="1" applyAlignment="1" applyProtection="1">
      <alignment horizontal="left" vertical="center"/>
      <protection locked="0"/>
    </xf>
    <xf numFmtId="0" fontId="2" fillId="2" borderId="8" xfId="0" applyFont="1" applyFill="1" applyBorder="1" applyAlignment="1">
      <alignment horizontal="center"/>
    </xf>
    <xf numFmtId="0" fontId="2" fillId="0" borderId="10" xfId="0" applyFont="1" applyBorder="1" applyAlignment="1">
      <alignment horizontal="center" vertical="center"/>
    </xf>
    <xf numFmtId="0" fontId="3" fillId="0" borderId="1" xfId="0" applyFont="1" applyBorder="1" applyAlignment="1">
      <alignment horizontal="center"/>
    </xf>
    <xf numFmtId="0" fontId="5" fillId="0" borderId="0" xfId="0" applyFont="1" applyAlignment="1">
      <alignment horizontal="right" vertical="center"/>
    </xf>
    <xf numFmtId="0" fontId="0" fillId="0" borderId="2" xfId="0" applyBorder="1" applyAlignment="1">
      <alignment horizontal="center"/>
    </xf>
    <xf numFmtId="0" fontId="4" fillId="0" borderId="0" xfId="0" applyFont="1" applyAlignment="1">
      <alignment horizontal="right" vertical="center"/>
    </xf>
    <xf numFmtId="0" fontId="0" fillId="0" borderId="0" xfId="0" applyAlignment="1">
      <alignment horizontal="center" vertical="center"/>
    </xf>
    <xf numFmtId="0" fontId="0" fillId="0" borderId="0" xfId="0" applyAlignment="1" applyProtection="1">
      <alignment horizontal="left" vertical="center" indent="1"/>
      <protection locked="0"/>
    </xf>
    <xf numFmtId="0" fontId="2" fillId="2" borderId="3" xfId="0"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horizontal="center"/>
    </xf>
    <xf numFmtId="0" fontId="2" fillId="2" borderId="2" xfId="0" applyFont="1" applyFill="1" applyBorder="1" applyAlignment="1">
      <alignment horizontal="left" vertical="center" indent="3"/>
    </xf>
    <xf numFmtId="0" fontId="2" fillId="2" borderId="4" xfId="0" applyFont="1" applyFill="1" applyBorder="1" applyAlignment="1">
      <alignment horizontal="left" vertical="center" indent="3"/>
    </xf>
    <xf numFmtId="0" fontId="2" fillId="2" borderId="0" xfId="0" applyFont="1" applyFill="1" applyAlignment="1">
      <alignment horizontal="left" vertical="center" indent="3"/>
    </xf>
    <xf numFmtId="0" fontId="2" fillId="2" borderId="6" xfId="0" applyFont="1" applyFill="1" applyBorder="1" applyAlignment="1">
      <alignment horizontal="left" vertical="center" indent="3"/>
    </xf>
    <xf numFmtId="0" fontId="1" fillId="0" borderId="10" xfId="0" applyFont="1" applyBorder="1" applyAlignment="1">
      <alignment horizontal="center"/>
    </xf>
    <xf numFmtId="0" fontId="31" fillId="0" borderId="0" xfId="0" applyFont="1" applyAlignment="1">
      <alignment horizontal="left" vertical="top" wrapText="1"/>
    </xf>
    <xf numFmtId="0" fontId="31" fillId="5" borderId="0" xfId="0" applyFont="1" applyFill="1" applyAlignment="1">
      <alignment horizontal="left" vertical="top" wrapText="1"/>
    </xf>
    <xf numFmtId="0" fontId="32" fillId="0" borderId="0" xfId="0" applyFont="1" applyAlignment="1" applyProtection="1">
      <alignment horizontal="right" vertical="top"/>
      <protection locked="0"/>
    </xf>
    <xf numFmtId="0" fontId="7" fillId="2" borderId="11" xfId="0" applyFont="1" applyFill="1" applyBorder="1" applyAlignment="1">
      <alignment horizontal="right" vertical="center"/>
    </xf>
    <xf numFmtId="0" fontId="7" fillId="2" borderId="10" xfId="0" applyFont="1" applyFill="1" applyBorder="1" applyAlignment="1">
      <alignment horizontal="right" vertical="center"/>
    </xf>
    <xf numFmtId="0" fontId="29" fillId="4" borderId="12" xfId="0" applyFont="1" applyFill="1" applyBorder="1" applyAlignment="1">
      <alignment horizontal="left" vertical="center"/>
    </xf>
    <xf numFmtId="0" fontId="1" fillId="2" borderId="11" xfId="0" applyFont="1" applyFill="1" applyBorder="1" applyAlignment="1" applyProtection="1">
      <alignment horizontal="center" vertical="center"/>
      <protection locked="0"/>
    </xf>
    <xf numFmtId="0" fontId="1" fillId="2" borderId="10" xfId="0" applyFont="1" applyFill="1" applyBorder="1" applyAlignment="1" applyProtection="1">
      <alignment horizontal="center" vertical="center"/>
      <protection locked="0"/>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2" fillId="2" borderId="7" xfId="0" applyFont="1" applyFill="1" applyBorder="1" applyAlignment="1">
      <alignment horizontal="right"/>
    </xf>
    <xf numFmtId="0" fontId="2" fillId="2" borderId="8" xfId="0" applyFont="1" applyFill="1" applyBorder="1" applyAlignment="1">
      <alignment horizontal="right"/>
    </xf>
    <xf numFmtId="0" fontId="2" fillId="2" borderId="8" xfId="0" applyFont="1" applyFill="1" applyBorder="1" applyAlignment="1">
      <alignment horizontal="left" vertical="center" indent="3"/>
    </xf>
    <xf numFmtId="0" fontId="2" fillId="2" borderId="9" xfId="0" applyFont="1" applyFill="1" applyBorder="1" applyAlignment="1">
      <alignment horizontal="left" vertical="center" indent="3"/>
    </xf>
    <xf numFmtId="0" fontId="0" fillId="0" borderId="11" xfId="0" applyBorder="1" applyAlignment="1">
      <alignment horizontal="center"/>
    </xf>
    <xf numFmtId="0" fontId="0" fillId="0" borderId="12" xfId="0" applyBorder="1" applyAlignment="1">
      <alignment horizontal="center"/>
    </xf>
    <xf numFmtId="0" fontId="29" fillId="4" borderId="10" xfId="0" applyFont="1" applyFill="1" applyBorder="1" applyAlignment="1">
      <alignment horizontal="center" vertical="center"/>
    </xf>
    <xf numFmtId="0" fontId="0" fillId="0" borderId="3"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9" xfId="0" applyBorder="1" applyAlignment="1" applyProtection="1">
      <alignment horizontal="left" vertical="top" wrapText="1"/>
      <protection locked="0"/>
    </xf>
    <xf numFmtId="0" fontId="9" fillId="0" borderId="2" xfId="0" applyFont="1" applyBorder="1" applyAlignment="1">
      <alignment horizontal="left"/>
    </xf>
    <xf numFmtId="0" fontId="9" fillId="0" borderId="8" xfId="0" applyFont="1" applyBorder="1" applyAlignment="1">
      <alignment horizontal="left"/>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21" fillId="0" borderId="0" xfId="0" applyFont="1" applyAlignment="1">
      <alignment horizontal="left" vertical="center" wrapText="1"/>
    </xf>
    <xf numFmtId="0" fontId="26" fillId="0" borderId="0" xfId="0" applyFont="1" applyAlignment="1">
      <alignment horizontal="left" vertical="center" wrapText="1"/>
    </xf>
    <xf numFmtId="0" fontId="27" fillId="4" borderId="1" xfId="0" applyFont="1" applyFill="1" applyBorder="1" applyAlignment="1">
      <alignment horizontal="center" vertical="center"/>
    </xf>
    <xf numFmtId="0" fontId="9" fillId="0" borderId="8" xfId="0" applyFont="1" applyBorder="1" applyAlignment="1" applyProtection="1">
      <alignment horizontal="center"/>
      <protection locked="0"/>
    </xf>
    <xf numFmtId="0" fontId="0" fillId="0" borderId="1" xfId="0" applyBorder="1" applyAlignment="1" applyProtection="1">
      <alignment horizontal="center"/>
      <protection locked="0"/>
    </xf>
    <xf numFmtId="14" fontId="32" fillId="0" borderId="0" xfId="0" applyNumberFormat="1" applyFont="1" applyAlignment="1" applyProtection="1">
      <alignment horizontal="right"/>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48986</xdr:rowOff>
    </xdr:from>
    <xdr:to>
      <xdr:col>0</xdr:col>
      <xdr:colOff>776968</xdr:colOff>
      <xdr:row>3</xdr:row>
      <xdr:rowOff>160804</xdr:rowOff>
    </xdr:to>
    <xdr:pic>
      <xdr:nvPicPr>
        <xdr:cNvPr id="4" name="Picture 3">
          <a:extLst>
            <a:ext uri="{FF2B5EF4-FFF2-40B4-BE49-F238E27FC236}">
              <a16:creationId xmlns:a16="http://schemas.microsoft.com/office/drawing/2014/main" id="{E8F1DA8F-E02D-5B17-7BDF-7780C17ED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8986"/>
          <a:ext cx="691243" cy="666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4" name="Picture 3">
          <a:extLst>
            <a:ext uri="{FF2B5EF4-FFF2-40B4-BE49-F238E27FC236}">
              <a16:creationId xmlns:a16="http://schemas.microsoft.com/office/drawing/2014/main" id="{B043F763-9119-21F5-32FF-5A75DD35F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62"/>
  <sheetViews>
    <sheetView tabSelected="1" zoomScale="140" zoomScaleNormal="140" zoomScaleSheetLayoutView="90" workbookViewId="0">
      <selection activeCell="O42" sqref="O42"/>
    </sheetView>
  </sheetViews>
  <sheetFormatPr defaultRowHeight="15" x14ac:dyDescent="0.25"/>
  <cols>
    <col min="1" max="1" width="11.7109375" customWidth="1"/>
    <col min="2" max="2" width="9.140625" customWidth="1"/>
    <col min="4" max="4" width="11.7109375" customWidth="1"/>
    <col min="5" max="5" width="1.28515625" customWidth="1"/>
    <col min="8" max="8" width="9.140625" customWidth="1"/>
    <col min="9" max="9" width="4.140625" customWidth="1"/>
    <col min="10" max="10" width="14" customWidth="1"/>
  </cols>
  <sheetData>
    <row r="1" spans="1:10" x14ac:dyDescent="0.25">
      <c r="A1" s="101"/>
      <c r="B1" s="101"/>
      <c r="C1" s="101"/>
      <c r="E1" s="85"/>
      <c r="F1" s="145" t="s">
        <v>96</v>
      </c>
      <c r="G1" s="145"/>
      <c r="H1" s="145"/>
      <c r="I1" s="145"/>
      <c r="J1" s="145"/>
    </row>
    <row r="2" spans="1:10" x14ac:dyDescent="0.25">
      <c r="A2" s="101"/>
      <c r="B2" s="101"/>
      <c r="C2" s="101"/>
      <c r="D2" s="85"/>
      <c r="E2" s="85"/>
      <c r="F2" s="85"/>
      <c r="G2" s="85"/>
      <c r="H2" s="85"/>
      <c r="I2" s="85"/>
      <c r="J2" s="85"/>
    </row>
    <row r="3" spans="1:10" x14ac:dyDescent="0.25">
      <c r="A3" s="101"/>
      <c r="B3" s="101"/>
      <c r="C3" s="101"/>
      <c r="D3" s="85"/>
      <c r="E3" s="85"/>
      <c r="F3" s="85"/>
      <c r="G3" s="85"/>
      <c r="H3" s="85"/>
      <c r="I3" s="85"/>
      <c r="J3" s="85"/>
    </row>
    <row r="4" spans="1:10" x14ac:dyDescent="0.25">
      <c r="A4" s="102"/>
      <c r="B4" s="102"/>
      <c r="C4" s="102"/>
      <c r="D4" s="86"/>
      <c r="E4" s="86"/>
      <c r="F4" s="86"/>
      <c r="G4" s="86"/>
      <c r="H4" s="86"/>
      <c r="I4" s="86"/>
      <c r="J4" s="86"/>
    </row>
    <row r="5" spans="1:10" ht="16.5" x14ac:dyDescent="0.3">
      <c r="A5" s="129" t="s">
        <v>69</v>
      </c>
      <c r="B5" s="129"/>
      <c r="C5" s="129"/>
      <c r="D5" s="129"/>
      <c r="E5" s="129"/>
      <c r="F5" s="129"/>
      <c r="G5" s="129"/>
      <c r="H5" s="129"/>
      <c r="I5" s="129"/>
      <c r="J5" s="129"/>
    </row>
    <row r="6" spans="1:10" ht="3.75" customHeight="1" x14ac:dyDescent="0.25">
      <c r="A6" s="131"/>
      <c r="B6" s="131"/>
      <c r="C6" s="131"/>
      <c r="D6" s="131"/>
      <c r="E6" s="131"/>
      <c r="F6" s="131"/>
      <c r="G6" s="131"/>
      <c r="H6" s="131"/>
      <c r="I6" s="131"/>
      <c r="J6" s="131"/>
    </row>
    <row r="7" spans="1:10" x14ac:dyDescent="0.25">
      <c r="A7" s="132" t="s">
        <v>1</v>
      </c>
      <c r="B7" s="132"/>
      <c r="C7" s="134" t="s">
        <v>97</v>
      </c>
      <c r="D7" s="134"/>
      <c r="E7" s="134"/>
      <c r="F7" s="134"/>
      <c r="G7" s="1" t="s">
        <v>11</v>
      </c>
      <c r="H7" s="134" t="s">
        <v>98</v>
      </c>
      <c r="I7" s="134"/>
      <c r="J7" s="134"/>
    </row>
    <row r="8" spans="1:10" ht="3.75" customHeight="1" x14ac:dyDescent="0.25">
      <c r="A8" s="133"/>
      <c r="B8" s="133"/>
      <c r="C8" s="133"/>
      <c r="D8" s="133"/>
      <c r="E8" s="133"/>
      <c r="F8" s="133"/>
      <c r="G8" s="133"/>
      <c r="H8" s="133"/>
      <c r="I8" s="133"/>
      <c r="J8" s="133"/>
    </row>
    <row r="9" spans="1:10" x14ac:dyDescent="0.25">
      <c r="A9" s="130" t="s">
        <v>0</v>
      </c>
      <c r="B9" s="130"/>
      <c r="C9" s="134" t="s">
        <v>99</v>
      </c>
      <c r="D9" s="134"/>
      <c r="E9" s="134"/>
      <c r="F9" s="134"/>
      <c r="G9" s="134"/>
      <c r="H9" s="134"/>
      <c r="I9" s="134"/>
      <c r="J9" s="134"/>
    </row>
    <row r="10" spans="1:10" ht="3.75" customHeight="1" x14ac:dyDescent="0.25">
      <c r="A10" s="101"/>
      <c r="B10" s="101"/>
      <c r="C10" s="101"/>
      <c r="D10" s="101"/>
      <c r="E10" s="101"/>
      <c r="F10" s="101"/>
      <c r="G10" s="101"/>
      <c r="H10" s="101"/>
      <c r="I10" s="101"/>
      <c r="J10" s="101"/>
    </row>
    <row r="11" spans="1:10" ht="11.25" customHeight="1" x14ac:dyDescent="0.25">
      <c r="A11" s="63"/>
      <c r="B11" s="64"/>
      <c r="C11" s="64"/>
      <c r="D11" s="160" t="s">
        <v>31</v>
      </c>
      <c r="E11" s="160"/>
      <c r="F11" s="160"/>
      <c r="G11" s="160"/>
      <c r="H11" s="64"/>
      <c r="I11" s="64"/>
      <c r="J11" s="65"/>
    </row>
    <row r="12" spans="1:10" ht="11.25" customHeight="1" x14ac:dyDescent="0.25">
      <c r="A12" s="135" t="s">
        <v>70</v>
      </c>
      <c r="B12" s="136"/>
      <c r="C12" s="137" t="s">
        <v>78</v>
      </c>
      <c r="D12" s="137"/>
      <c r="E12" s="66"/>
      <c r="F12" s="138" t="s">
        <v>32</v>
      </c>
      <c r="G12" s="138"/>
      <c r="H12" s="138"/>
      <c r="I12" s="138"/>
      <c r="J12" s="139"/>
    </row>
    <row r="13" spans="1:10" ht="11.25" customHeight="1" x14ac:dyDescent="0.25">
      <c r="A13" s="117" t="s">
        <v>2</v>
      </c>
      <c r="B13" s="118"/>
      <c r="C13" s="116" t="s">
        <v>79</v>
      </c>
      <c r="D13" s="116"/>
      <c r="E13" s="69"/>
      <c r="F13" s="140" t="s">
        <v>84</v>
      </c>
      <c r="G13" s="140"/>
      <c r="H13" s="140"/>
      <c r="I13" s="140"/>
      <c r="J13" s="141"/>
    </row>
    <row r="14" spans="1:10" ht="11.25" customHeight="1" x14ac:dyDescent="0.25">
      <c r="A14" s="117" t="s">
        <v>3</v>
      </c>
      <c r="B14" s="118"/>
      <c r="C14" s="116" t="s">
        <v>80</v>
      </c>
      <c r="D14" s="116"/>
      <c r="E14" s="69"/>
      <c r="F14" s="140" t="s">
        <v>85</v>
      </c>
      <c r="G14" s="140"/>
      <c r="H14" s="140"/>
      <c r="I14" s="140"/>
      <c r="J14" s="141"/>
    </row>
    <row r="15" spans="1:10" ht="11.25" customHeight="1" x14ac:dyDescent="0.25">
      <c r="A15" s="117" t="s">
        <v>4</v>
      </c>
      <c r="B15" s="118"/>
      <c r="C15" s="116" t="s">
        <v>81</v>
      </c>
      <c r="D15" s="116"/>
      <c r="E15" s="69"/>
      <c r="F15" s="140" t="s">
        <v>33</v>
      </c>
      <c r="G15" s="140"/>
      <c r="H15" s="140"/>
      <c r="I15" s="140"/>
      <c r="J15" s="141"/>
    </row>
    <row r="16" spans="1:10" ht="11.25" customHeight="1" x14ac:dyDescent="0.25">
      <c r="A16" s="67"/>
      <c r="B16" s="68" t="s">
        <v>34</v>
      </c>
      <c r="C16" s="116" t="s">
        <v>82</v>
      </c>
      <c r="D16" s="116"/>
      <c r="E16" s="69"/>
      <c r="F16" s="140" t="s">
        <v>36</v>
      </c>
      <c r="G16" s="140"/>
      <c r="H16" s="140"/>
      <c r="I16" s="140"/>
      <c r="J16" s="141"/>
    </row>
    <row r="17" spans="1:10" ht="11.25" customHeight="1" x14ac:dyDescent="0.25">
      <c r="A17" s="117" t="s">
        <v>35</v>
      </c>
      <c r="B17" s="118"/>
      <c r="C17" s="116" t="s">
        <v>83</v>
      </c>
      <c r="D17" s="116"/>
      <c r="E17" s="69"/>
      <c r="F17" s="140" t="s">
        <v>37</v>
      </c>
      <c r="G17" s="140"/>
      <c r="H17" s="140"/>
      <c r="I17" s="140"/>
      <c r="J17" s="141"/>
    </row>
    <row r="18" spans="1:10" ht="11.25" customHeight="1" x14ac:dyDescent="0.25">
      <c r="A18" s="154" t="s">
        <v>5</v>
      </c>
      <c r="B18" s="155"/>
      <c r="C18" s="127" t="s">
        <v>9</v>
      </c>
      <c r="D18" s="127"/>
      <c r="E18" s="47"/>
      <c r="F18" s="156" t="s">
        <v>10</v>
      </c>
      <c r="G18" s="156"/>
      <c r="H18" s="156"/>
      <c r="I18" s="156"/>
      <c r="J18" s="157"/>
    </row>
    <row r="19" spans="1:10" ht="3.6" customHeight="1" x14ac:dyDescent="0.25">
      <c r="A19" s="142"/>
      <c r="B19" s="142"/>
      <c r="C19" s="142"/>
      <c r="D19" s="142"/>
      <c r="E19" s="142"/>
      <c r="F19" s="142"/>
      <c r="G19" s="142"/>
      <c r="H19" s="142"/>
      <c r="I19" s="142"/>
      <c r="J19" s="142"/>
    </row>
    <row r="20" spans="1:10" ht="10.9" customHeight="1" x14ac:dyDescent="0.25">
      <c r="A20" s="119" t="s">
        <v>4</v>
      </c>
      <c r="B20" s="120"/>
      <c r="C20" s="56"/>
      <c r="D20" s="56"/>
      <c r="E20" s="56"/>
      <c r="F20" s="56"/>
      <c r="G20" s="56"/>
      <c r="H20" s="56"/>
      <c r="I20" s="56"/>
      <c r="J20" s="57"/>
    </row>
    <row r="21" spans="1:10" x14ac:dyDescent="0.25">
      <c r="A21" s="77">
        <v>46070</v>
      </c>
      <c r="B21" s="76" t="s">
        <v>7</v>
      </c>
      <c r="C21" s="121" t="s">
        <v>94</v>
      </c>
      <c r="D21" s="122"/>
      <c r="E21" s="123"/>
      <c r="F21" s="48">
        <v>8</v>
      </c>
      <c r="G21" s="70" t="s">
        <v>8</v>
      </c>
      <c r="H21" s="71">
        <v>181</v>
      </c>
      <c r="I21" s="70" t="s">
        <v>12</v>
      </c>
      <c r="J21" s="49">
        <f>SUM(H21*F21)</f>
        <v>1448</v>
      </c>
    </row>
    <row r="22" spans="1:10" x14ac:dyDescent="0.25">
      <c r="A22" s="78"/>
      <c r="B22" s="26" t="s">
        <v>6</v>
      </c>
      <c r="C22" s="124" t="str">
        <f>H7</f>
        <v>Bartow, FL</v>
      </c>
      <c r="D22" s="125"/>
      <c r="E22" s="126"/>
      <c r="F22" s="50"/>
      <c r="G22" s="27" t="s">
        <v>8</v>
      </c>
      <c r="H22" s="72">
        <v>272</v>
      </c>
      <c r="I22" s="27" t="s">
        <v>12</v>
      </c>
      <c r="J22" s="51">
        <f t="shared" ref="J22" si="0">SUM(H22*F22)</f>
        <v>0</v>
      </c>
    </row>
    <row r="23" spans="1:10" x14ac:dyDescent="0.25">
      <c r="A23" s="77">
        <v>46073</v>
      </c>
      <c r="B23" s="76" t="s">
        <v>7</v>
      </c>
      <c r="C23" s="121" t="str">
        <f>C22</f>
        <v>Bartow, FL</v>
      </c>
      <c r="D23" s="122"/>
      <c r="E23" s="123"/>
      <c r="F23" s="48">
        <v>8</v>
      </c>
      <c r="G23" s="70" t="s">
        <v>8</v>
      </c>
      <c r="H23" s="71">
        <v>181</v>
      </c>
      <c r="I23" s="70" t="s">
        <v>12</v>
      </c>
      <c r="J23" s="49">
        <f>SUM(H23*F23)</f>
        <v>1448</v>
      </c>
    </row>
    <row r="24" spans="1:10" x14ac:dyDescent="0.25">
      <c r="A24" s="79"/>
      <c r="B24" s="26" t="s">
        <v>6</v>
      </c>
      <c r="C24" s="124" t="s">
        <v>94</v>
      </c>
      <c r="D24" s="125"/>
      <c r="E24" s="126"/>
      <c r="F24" s="50"/>
      <c r="G24" s="27" t="s">
        <v>8</v>
      </c>
      <c r="H24" s="72">
        <v>272</v>
      </c>
      <c r="I24" s="27" t="s">
        <v>12</v>
      </c>
      <c r="J24" s="51">
        <f>SUM(H24*F24)</f>
        <v>0</v>
      </c>
    </row>
    <row r="25" spans="1:10" ht="10.9" customHeight="1" x14ac:dyDescent="0.25">
      <c r="A25" s="29"/>
      <c r="B25" s="30"/>
      <c r="C25" s="35"/>
      <c r="D25" s="30" t="s">
        <v>29</v>
      </c>
      <c r="E25" s="30"/>
      <c r="F25" s="31">
        <f>SUM(F21:F24)</f>
        <v>16</v>
      </c>
      <c r="G25" s="112" t="s">
        <v>13</v>
      </c>
      <c r="H25" s="112"/>
      <c r="I25" s="32" t="s">
        <v>12</v>
      </c>
      <c r="J25" s="33">
        <f>SUM(J21:J24)</f>
        <v>2896</v>
      </c>
    </row>
    <row r="26" spans="1:10" ht="3.6" customHeight="1" x14ac:dyDescent="0.25">
      <c r="A26" s="128"/>
      <c r="B26" s="128"/>
      <c r="C26" s="128"/>
      <c r="D26" s="128"/>
      <c r="E26" s="128"/>
      <c r="F26" s="128"/>
      <c r="G26" s="128"/>
      <c r="H26" s="128"/>
      <c r="I26" s="128"/>
      <c r="J26" s="128"/>
    </row>
    <row r="27" spans="1:10" ht="10.9" customHeight="1" x14ac:dyDescent="0.25">
      <c r="A27" s="58" t="s">
        <v>14</v>
      </c>
      <c r="B27" s="56"/>
      <c r="C27" s="56"/>
      <c r="D27" s="56"/>
      <c r="E27" s="56"/>
      <c r="F27" s="56"/>
      <c r="G27" s="56"/>
      <c r="H27" s="56"/>
      <c r="I27" s="56"/>
      <c r="J27" s="57"/>
    </row>
    <row r="28" spans="1:10" x14ac:dyDescent="0.25">
      <c r="A28" s="80">
        <v>46068</v>
      </c>
      <c r="B28" s="103" t="s">
        <v>15</v>
      </c>
      <c r="C28" s="103"/>
      <c r="D28" s="36" t="s">
        <v>24</v>
      </c>
      <c r="E28" s="39"/>
      <c r="F28" s="40"/>
      <c r="G28" s="36" t="s">
        <v>8</v>
      </c>
      <c r="H28" s="73">
        <v>416</v>
      </c>
      <c r="I28" s="36" t="s">
        <v>12</v>
      </c>
      <c r="J28" s="41">
        <f>H28*F28</f>
        <v>0</v>
      </c>
    </row>
    <row r="29" spans="1:10" x14ac:dyDescent="0.25">
      <c r="A29" s="81">
        <f>A28+1</f>
        <v>46069</v>
      </c>
      <c r="B29" s="111" t="s">
        <v>21</v>
      </c>
      <c r="C29" s="111"/>
      <c r="D29" s="28" t="s">
        <v>22</v>
      </c>
      <c r="E29" s="42"/>
      <c r="F29" s="43"/>
      <c r="G29" s="28" t="s">
        <v>8</v>
      </c>
      <c r="H29" s="74">
        <v>208</v>
      </c>
      <c r="I29" s="28" t="s">
        <v>12</v>
      </c>
      <c r="J29" s="44">
        <f t="shared" ref="J29:J39" si="1">H29*F29</f>
        <v>0</v>
      </c>
    </row>
    <row r="30" spans="1:10" x14ac:dyDescent="0.25">
      <c r="A30" s="82"/>
      <c r="B30" s="103"/>
      <c r="C30" s="103"/>
      <c r="D30" s="36" t="s">
        <v>23</v>
      </c>
      <c r="E30" s="39"/>
      <c r="F30" s="40"/>
      <c r="G30" s="36" t="s">
        <v>8</v>
      </c>
      <c r="H30" s="73">
        <v>312</v>
      </c>
      <c r="I30" s="36" t="s">
        <v>12</v>
      </c>
      <c r="J30" s="41">
        <f t="shared" si="1"/>
        <v>0</v>
      </c>
    </row>
    <row r="31" spans="1:10" x14ac:dyDescent="0.25">
      <c r="A31" s="81">
        <f>A28+2</f>
        <v>46070</v>
      </c>
      <c r="B31" s="111" t="s">
        <v>16</v>
      </c>
      <c r="C31" s="111"/>
      <c r="D31" s="28" t="s">
        <v>22</v>
      </c>
      <c r="E31" s="42"/>
      <c r="F31" s="43"/>
      <c r="G31" s="28" t="s">
        <v>8</v>
      </c>
      <c r="H31" s="74">
        <v>208</v>
      </c>
      <c r="I31" s="28" t="s">
        <v>12</v>
      </c>
      <c r="J31" s="44">
        <v>0</v>
      </c>
    </row>
    <row r="32" spans="1:10" x14ac:dyDescent="0.25">
      <c r="A32" s="82"/>
      <c r="B32" s="103"/>
      <c r="C32" s="103"/>
      <c r="D32" s="36" t="s">
        <v>23</v>
      </c>
      <c r="E32" s="39"/>
      <c r="F32" s="40"/>
      <c r="G32" s="36" t="s">
        <v>8</v>
      </c>
      <c r="H32" s="73">
        <v>312</v>
      </c>
      <c r="I32" s="36" t="s">
        <v>12</v>
      </c>
      <c r="J32" s="41">
        <f t="shared" si="1"/>
        <v>0</v>
      </c>
    </row>
    <row r="33" spans="1:10" x14ac:dyDescent="0.25">
      <c r="A33" s="83">
        <f>A28+3</f>
        <v>46071</v>
      </c>
      <c r="B33" s="110" t="s">
        <v>17</v>
      </c>
      <c r="C33" s="110"/>
      <c r="D33" s="75" t="s">
        <v>22</v>
      </c>
      <c r="E33" s="45"/>
      <c r="F33" s="46">
        <v>8</v>
      </c>
      <c r="G33" s="75" t="s">
        <v>8</v>
      </c>
      <c r="H33" s="74">
        <v>208</v>
      </c>
      <c r="I33" s="75" t="s">
        <v>12</v>
      </c>
      <c r="J33" s="44">
        <f t="shared" si="1"/>
        <v>1664</v>
      </c>
    </row>
    <row r="34" spans="1:10" x14ac:dyDescent="0.25">
      <c r="A34" s="82"/>
      <c r="B34" s="103"/>
      <c r="C34" s="103"/>
      <c r="D34" s="36" t="s">
        <v>23</v>
      </c>
      <c r="E34" s="39"/>
      <c r="F34" s="40">
        <v>4</v>
      </c>
      <c r="G34" s="36" t="s">
        <v>8</v>
      </c>
      <c r="H34" s="73">
        <v>312</v>
      </c>
      <c r="I34" s="36" t="s">
        <v>12</v>
      </c>
      <c r="J34" s="41">
        <f t="shared" si="1"/>
        <v>1248</v>
      </c>
    </row>
    <row r="35" spans="1:10" x14ac:dyDescent="0.25">
      <c r="A35" s="81">
        <f>A28+4</f>
        <v>46072</v>
      </c>
      <c r="B35" s="111" t="s">
        <v>18</v>
      </c>
      <c r="C35" s="111"/>
      <c r="D35" s="28" t="s">
        <v>22</v>
      </c>
      <c r="E35" s="42"/>
      <c r="F35" s="43">
        <v>8</v>
      </c>
      <c r="G35" s="28" t="s">
        <v>8</v>
      </c>
      <c r="H35" s="74">
        <v>208</v>
      </c>
      <c r="I35" s="28" t="s">
        <v>12</v>
      </c>
      <c r="J35" s="44">
        <f t="shared" si="1"/>
        <v>1664</v>
      </c>
    </row>
    <row r="36" spans="1:10" x14ac:dyDescent="0.25">
      <c r="A36" s="82"/>
      <c r="B36" s="103"/>
      <c r="C36" s="103"/>
      <c r="D36" s="36" t="s">
        <v>23</v>
      </c>
      <c r="E36" s="39"/>
      <c r="F36" s="40">
        <v>4</v>
      </c>
      <c r="G36" s="36" t="s">
        <v>8</v>
      </c>
      <c r="H36" s="73">
        <v>312</v>
      </c>
      <c r="I36" s="36" t="s">
        <v>12</v>
      </c>
      <c r="J36" s="41">
        <f t="shared" si="1"/>
        <v>1248</v>
      </c>
    </row>
    <row r="37" spans="1:10" x14ac:dyDescent="0.25">
      <c r="A37" s="81">
        <f>A28+5</f>
        <v>46073</v>
      </c>
      <c r="B37" s="111" t="s">
        <v>19</v>
      </c>
      <c r="C37" s="111"/>
      <c r="D37" s="28" t="s">
        <v>22</v>
      </c>
      <c r="E37" s="42"/>
      <c r="F37" s="43"/>
      <c r="G37" s="28" t="s">
        <v>8</v>
      </c>
      <c r="H37" s="74">
        <v>208</v>
      </c>
      <c r="I37" s="28" t="s">
        <v>12</v>
      </c>
      <c r="J37" s="44">
        <f t="shared" si="1"/>
        <v>0</v>
      </c>
    </row>
    <row r="38" spans="1:10" x14ac:dyDescent="0.25">
      <c r="A38" s="82"/>
      <c r="B38" s="103"/>
      <c r="C38" s="103"/>
      <c r="D38" s="36" t="s">
        <v>23</v>
      </c>
      <c r="E38" s="39"/>
      <c r="F38" s="40"/>
      <c r="G38" s="36" t="s">
        <v>8</v>
      </c>
      <c r="H38" s="73">
        <v>312</v>
      </c>
      <c r="I38" s="36" t="s">
        <v>12</v>
      </c>
      <c r="J38" s="41">
        <f t="shared" si="1"/>
        <v>0</v>
      </c>
    </row>
    <row r="39" spans="1:10" x14ac:dyDescent="0.25">
      <c r="A39" s="81">
        <f>A28+6</f>
        <v>46074</v>
      </c>
      <c r="B39" s="111" t="s">
        <v>20</v>
      </c>
      <c r="C39" s="111"/>
      <c r="D39" s="28" t="s">
        <v>23</v>
      </c>
      <c r="E39" s="42"/>
      <c r="F39" s="43"/>
      <c r="G39" s="28" t="s">
        <v>8</v>
      </c>
      <c r="H39" s="74">
        <v>416</v>
      </c>
      <c r="I39" s="28" t="s">
        <v>12</v>
      </c>
      <c r="J39" s="44">
        <f t="shared" si="1"/>
        <v>0</v>
      </c>
    </row>
    <row r="40" spans="1:10" ht="10.9" customHeight="1" x14ac:dyDescent="0.25">
      <c r="A40" s="34"/>
      <c r="B40" s="35"/>
      <c r="C40" s="35"/>
      <c r="D40" s="30" t="s">
        <v>29</v>
      </c>
      <c r="E40" s="35"/>
      <c r="F40" s="31">
        <f>SUM(F28:F39)</f>
        <v>24</v>
      </c>
      <c r="G40" s="112" t="s">
        <v>25</v>
      </c>
      <c r="H40" s="112"/>
      <c r="I40" s="36" t="s">
        <v>12</v>
      </c>
      <c r="J40" s="37">
        <f>SUM(J28:J39)</f>
        <v>5824</v>
      </c>
    </row>
    <row r="41" spans="1:10" ht="3.6" customHeight="1" x14ac:dyDescent="0.25">
      <c r="A41" s="113"/>
      <c r="B41" s="113"/>
      <c r="C41" s="113"/>
      <c r="D41" s="113"/>
      <c r="E41" s="113"/>
      <c r="F41" s="113"/>
      <c r="G41" s="113"/>
      <c r="H41" s="113"/>
      <c r="I41" s="113"/>
      <c r="J41" s="113"/>
    </row>
    <row r="42" spans="1:10" ht="10.9" customHeight="1" x14ac:dyDescent="0.25">
      <c r="A42" s="119" t="s">
        <v>65</v>
      </c>
      <c r="B42" s="120"/>
      <c r="C42" s="120"/>
      <c r="D42" s="120"/>
      <c r="E42" s="120"/>
      <c r="F42" s="120"/>
      <c r="G42" s="120"/>
      <c r="H42" s="120"/>
      <c r="I42" s="120"/>
      <c r="J42" s="148"/>
    </row>
    <row r="43" spans="1:10" ht="10.9" customHeight="1" x14ac:dyDescent="0.25">
      <c r="A43" s="149"/>
      <c r="B43" s="150"/>
      <c r="C43" s="150"/>
      <c r="D43" s="36" t="s">
        <v>22</v>
      </c>
      <c r="E43" s="52"/>
      <c r="F43" s="40"/>
      <c r="G43" s="36" t="s">
        <v>8</v>
      </c>
      <c r="H43" s="73">
        <v>208</v>
      </c>
      <c r="I43" s="36" t="s">
        <v>12</v>
      </c>
      <c r="J43" s="37">
        <f>SUM(H43*F43)</f>
        <v>0</v>
      </c>
    </row>
    <row r="44" spans="1:10" ht="3.6" customHeight="1" x14ac:dyDescent="0.25">
      <c r="A44" s="151"/>
      <c r="B44" s="152"/>
      <c r="C44" s="152"/>
      <c r="D44" s="152"/>
      <c r="E44" s="152"/>
      <c r="F44" s="152"/>
      <c r="G44" s="152"/>
      <c r="H44" s="152"/>
      <c r="I44" s="152"/>
      <c r="J44" s="153"/>
    </row>
    <row r="45" spans="1:10" ht="10.9" customHeight="1" x14ac:dyDescent="0.25">
      <c r="A45" s="58" t="s">
        <v>5</v>
      </c>
      <c r="B45" s="59"/>
      <c r="C45" s="59"/>
      <c r="D45" s="59"/>
      <c r="E45" s="59"/>
      <c r="F45" s="59"/>
      <c r="G45" s="59"/>
      <c r="H45" s="59"/>
      <c r="I45" s="59"/>
      <c r="J45" s="60"/>
    </row>
    <row r="46" spans="1:10" ht="10.9" customHeight="1" x14ac:dyDescent="0.25">
      <c r="A46" s="114" t="s">
        <v>27</v>
      </c>
      <c r="B46" s="115"/>
      <c r="C46" s="115"/>
      <c r="D46" s="115"/>
      <c r="E46" s="115"/>
      <c r="F46" s="115"/>
      <c r="G46" s="112" t="s">
        <v>26</v>
      </c>
      <c r="H46" s="112"/>
      <c r="I46" s="36" t="s">
        <v>12</v>
      </c>
      <c r="J46" s="38">
        <v>2500</v>
      </c>
    </row>
    <row r="47" spans="1:10" ht="3.6" customHeight="1" x14ac:dyDescent="0.25">
      <c r="A47" s="158"/>
      <c r="B47" s="113"/>
      <c r="C47" s="113"/>
      <c r="D47" s="113"/>
      <c r="E47" s="113"/>
      <c r="F47" s="113"/>
      <c r="G47" s="113"/>
      <c r="H47" s="113"/>
      <c r="I47" s="113"/>
      <c r="J47" s="159"/>
    </row>
    <row r="48" spans="1:10" x14ac:dyDescent="0.25">
      <c r="A48" s="106" t="s">
        <v>30</v>
      </c>
      <c r="B48" s="107"/>
      <c r="C48" s="107"/>
      <c r="D48" s="107"/>
      <c r="E48" s="101"/>
      <c r="F48" s="108" t="s">
        <v>13</v>
      </c>
      <c r="G48" s="109"/>
      <c r="H48" s="109"/>
      <c r="I48" s="61" t="s">
        <v>12</v>
      </c>
      <c r="J48" s="37">
        <f>SUM(J25)</f>
        <v>2896</v>
      </c>
    </row>
    <row r="49" spans="1:10" ht="14.45" customHeight="1" x14ac:dyDescent="0.25">
      <c r="A49" s="143" t="s">
        <v>72</v>
      </c>
      <c r="B49" s="143"/>
      <c r="C49" s="143"/>
      <c r="D49" s="143"/>
      <c r="E49" s="101"/>
      <c r="F49" s="99" t="s">
        <v>25</v>
      </c>
      <c r="G49" s="100"/>
      <c r="H49" s="100"/>
      <c r="I49" s="62" t="s">
        <v>12</v>
      </c>
      <c r="J49" s="53">
        <f>SUM(J40)</f>
        <v>5824</v>
      </c>
    </row>
    <row r="50" spans="1:10" x14ac:dyDescent="0.25">
      <c r="A50" s="143"/>
      <c r="B50" s="143"/>
      <c r="C50" s="143"/>
      <c r="D50" s="143"/>
      <c r="E50" s="101"/>
      <c r="F50" s="99" t="s">
        <v>26</v>
      </c>
      <c r="G50" s="100"/>
      <c r="H50" s="100"/>
      <c r="I50" s="62" t="s">
        <v>12</v>
      </c>
      <c r="J50" s="53">
        <f>SUM(J46)</f>
        <v>2500</v>
      </c>
    </row>
    <row r="51" spans="1:10" x14ac:dyDescent="0.25">
      <c r="A51" s="143"/>
      <c r="B51" s="143"/>
      <c r="C51" s="143"/>
      <c r="D51" s="143"/>
      <c r="E51" s="101"/>
      <c r="F51" s="99" t="s">
        <v>66</v>
      </c>
      <c r="G51" s="100"/>
      <c r="H51" s="100"/>
      <c r="I51" s="62" t="s">
        <v>12</v>
      </c>
      <c r="J51" s="53">
        <f>SUM(J43)</f>
        <v>0</v>
      </c>
    </row>
    <row r="52" spans="1:10" x14ac:dyDescent="0.25">
      <c r="A52" s="143"/>
      <c r="B52" s="143"/>
      <c r="C52" s="143"/>
      <c r="D52" s="143"/>
      <c r="E52" s="101"/>
      <c r="F52" s="99" t="s">
        <v>71</v>
      </c>
      <c r="G52" s="100"/>
      <c r="H52" s="100"/>
      <c r="I52" s="62" t="s">
        <v>12</v>
      </c>
      <c r="J52" s="53">
        <v>0</v>
      </c>
    </row>
    <row r="53" spans="1:10" ht="15" customHeight="1" x14ac:dyDescent="0.25">
      <c r="A53" s="143"/>
      <c r="B53" s="143"/>
      <c r="C53" s="143"/>
      <c r="D53" s="143"/>
      <c r="E53" s="101"/>
      <c r="F53" s="99" t="s">
        <v>73</v>
      </c>
      <c r="G53" s="100"/>
      <c r="H53" s="100"/>
      <c r="I53" s="62" t="s">
        <v>12</v>
      </c>
      <c r="J53" s="53">
        <v>0</v>
      </c>
    </row>
    <row r="54" spans="1:10" ht="15" customHeight="1" x14ac:dyDescent="0.25">
      <c r="A54" s="143"/>
      <c r="B54" s="143"/>
      <c r="C54" s="143"/>
      <c r="D54" s="143"/>
      <c r="E54" s="101"/>
      <c r="G54" s="146" t="s">
        <v>28</v>
      </c>
      <c r="H54" s="147"/>
      <c r="I54" s="54" t="s">
        <v>12</v>
      </c>
      <c r="J54" s="55">
        <f>SUM(I48:J53)</f>
        <v>11220</v>
      </c>
    </row>
    <row r="55" spans="1:10" x14ac:dyDescent="0.25">
      <c r="A55" s="84"/>
      <c r="B55" s="84"/>
      <c r="C55" s="84"/>
      <c r="D55" s="84"/>
      <c r="E55" s="16"/>
      <c r="F55" s="104" t="s">
        <v>67</v>
      </c>
      <c r="G55" s="105"/>
      <c r="H55" s="105"/>
      <c r="I55" s="105"/>
      <c r="J55" s="177">
        <v>46048</v>
      </c>
    </row>
    <row r="56" spans="1:10" x14ac:dyDescent="0.25">
      <c r="A56" s="144" t="s">
        <v>93</v>
      </c>
      <c r="B56" s="144"/>
      <c r="C56" s="144"/>
      <c r="D56" s="144"/>
      <c r="E56" s="144"/>
      <c r="F56" s="144"/>
      <c r="G56" s="144"/>
      <c r="H56" s="144"/>
      <c r="I56" s="144"/>
      <c r="J56" s="144"/>
    </row>
    <row r="57" spans="1:10" x14ac:dyDescent="0.25">
      <c r="A57" s="144"/>
      <c r="B57" s="144"/>
      <c r="C57" s="144"/>
      <c r="D57" s="144"/>
      <c r="E57" s="144"/>
      <c r="F57" s="144"/>
      <c r="G57" s="144"/>
      <c r="H57" s="144"/>
      <c r="I57" s="144"/>
      <c r="J57" s="144"/>
    </row>
    <row r="58" spans="1:10" x14ac:dyDescent="0.25">
      <c r="A58" s="144"/>
      <c r="B58" s="144"/>
      <c r="C58" s="144"/>
      <c r="D58" s="144"/>
      <c r="E58" s="144"/>
      <c r="F58" s="144"/>
      <c r="G58" s="144"/>
      <c r="H58" s="144"/>
      <c r="I58" s="144"/>
      <c r="J58" s="144"/>
    </row>
    <row r="59" spans="1:10" x14ac:dyDescent="0.25">
      <c r="A59" s="3"/>
      <c r="B59" s="3"/>
      <c r="C59" s="3"/>
      <c r="D59" s="3"/>
      <c r="E59" s="2"/>
    </row>
    <row r="60" spans="1:10" x14ac:dyDescent="0.25">
      <c r="A60" s="3"/>
      <c r="B60" s="3"/>
      <c r="C60" s="3"/>
      <c r="D60" s="3"/>
      <c r="E60" s="2"/>
    </row>
    <row r="61" spans="1:10" x14ac:dyDescent="0.25">
      <c r="A61" s="3"/>
      <c r="B61" s="3"/>
      <c r="C61" s="3"/>
      <c r="D61" s="3"/>
      <c r="E61" s="2"/>
    </row>
    <row r="62" spans="1:10" x14ac:dyDescent="0.25">
      <c r="A62" s="3"/>
      <c r="B62" s="3"/>
      <c r="C62" s="3"/>
      <c r="D62" s="3"/>
      <c r="E62" s="2"/>
    </row>
  </sheetData>
  <sheetProtection selectLockedCells="1"/>
  <mergeCells count="72">
    <mergeCell ref="A49:D54"/>
    <mergeCell ref="A56:J58"/>
    <mergeCell ref="F1:J1"/>
    <mergeCell ref="G54:H54"/>
    <mergeCell ref="A42:J42"/>
    <mergeCell ref="A43:C43"/>
    <mergeCell ref="F51:H51"/>
    <mergeCell ref="A44:J44"/>
    <mergeCell ref="F17:J17"/>
    <mergeCell ref="A18:B18"/>
    <mergeCell ref="F18:J18"/>
    <mergeCell ref="A14:B14"/>
    <mergeCell ref="F16:J16"/>
    <mergeCell ref="A47:J47"/>
    <mergeCell ref="A10:J10"/>
    <mergeCell ref="D11:G11"/>
    <mergeCell ref="A12:B12"/>
    <mergeCell ref="C12:D12"/>
    <mergeCell ref="G25:H25"/>
    <mergeCell ref="A13:B13"/>
    <mergeCell ref="C13:D13"/>
    <mergeCell ref="F12:J12"/>
    <mergeCell ref="F13:J13"/>
    <mergeCell ref="F14:J14"/>
    <mergeCell ref="F15:J15"/>
    <mergeCell ref="A19:J19"/>
    <mergeCell ref="A5:J5"/>
    <mergeCell ref="A9:B9"/>
    <mergeCell ref="A6:J6"/>
    <mergeCell ref="A7:B7"/>
    <mergeCell ref="A8:J8"/>
    <mergeCell ref="C9:J9"/>
    <mergeCell ref="C7:F7"/>
    <mergeCell ref="H7:J7"/>
    <mergeCell ref="B29:C29"/>
    <mergeCell ref="B30:C30"/>
    <mergeCell ref="B31:C31"/>
    <mergeCell ref="C14:D14"/>
    <mergeCell ref="A15:B15"/>
    <mergeCell ref="C15:D15"/>
    <mergeCell ref="A20:B20"/>
    <mergeCell ref="A17:B17"/>
    <mergeCell ref="C17:D17"/>
    <mergeCell ref="C21:E21"/>
    <mergeCell ref="C22:E22"/>
    <mergeCell ref="C23:E23"/>
    <mergeCell ref="C24:E24"/>
    <mergeCell ref="C16:D16"/>
    <mergeCell ref="C18:D18"/>
    <mergeCell ref="A26:J26"/>
    <mergeCell ref="A41:J41"/>
    <mergeCell ref="A46:F46"/>
    <mergeCell ref="B37:C37"/>
    <mergeCell ref="B38:C38"/>
    <mergeCell ref="B39:C39"/>
    <mergeCell ref="G40:H40"/>
    <mergeCell ref="F53:H53"/>
    <mergeCell ref="A1:C4"/>
    <mergeCell ref="B28:C28"/>
    <mergeCell ref="E48:E54"/>
    <mergeCell ref="F55:I55"/>
    <mergeCell ref="A48:D48"/>
    <mergeCell ref="F48:H48"/>
    <mergeCell ref="F52:H52"/>
    <mergeCell ref="F50:H50"/>
    <mergeCell ref="F49:H49"/>
    <mergeCell ref="B32:C32"/>
    <mergeCell ref="B33:C33"/>
    <mergeCell ref="B34:C34"/>
    <mergeCell ref="B35:C35"/>
    <mergeCell ref="B36:C36"/>
    <mergeCell ref="G46:H46"/>
  </mergeCells>
  <printOptions horizontalCentered="1"/>
  <pageMargins left="0.7" right="0.7" top="0.75" bottom="0.75" header="0.3" footer="0.3"/>
  <pageSetup scale="93" orientation="portrait" r:id="rId1"/>
  <headerFooter>
    <oddFooter>&amp;LSQ_STANDARDRATES_2026_REV1</oddFooter>
  </headerFooter>
  <rowBreaks count="1" manualBreakCount="1">
    <brk id="58"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5:D48"/>
  <sheetViews>
    <sheetView zoomScaleNormal="100" workbookViewId="0">
      <selection activeCell="I34" sqref="I34"/>
    </sheetView>
  </sheetViews>
  <sheetFormatPr defaultRowHeight="15" x14ac:dyDescent="0.25"/>
  <cols>
    <col min="1" max="1" width="38" customWidth="1"/>
    <col min="2" max="2" width="12" customWidth="1"/>
    <col min="3" max="3" width="8.7109375" customWidth="1"/>
    <col min="4" max="4" width="27.7109375" customWidth="1"/>
  </cols>
  <sheetData>
    <row r="5" spans="1:4" ht="15.75" x14ac:dyDescent="0.25">
      <c r="A5" s="4" t="s">
        <v>74</v>
      </c>
    </row>
    <row r="6" spans="1:4" ht="15.75" x14ac:dyDescent="0.25">
      <c r="A6" s="4"/>
    </row>
    <row r="7" spans="1:4" x14ac:dyDescent="0.25">
      <c r="A7" s="5" t="s">
        <v>86</v>
      </c>
    </row>
    <row r="8" spans="1:4" ht="15.75" thickBot="1" x14ac:dyDescent="0.3">
      <c r="A8" s="5"/>
    </row>
    <row r="9" spans="1:4" x14ac:dyDescent="0.25">
      <c r="A9" s="87"/>
      <c r="B9" s="88"/>
      <c r="C9" s="88"/>
      <c r="D9" s="88"/>
    </row>
    <row r="10" spans="1:4" ht="14.45" customHeight="1" x14ac:dyDescent="0.25">
      <c r="A10" s="89" t="s">
        <v>38</v>
      </c>
      <c r="B10" s="90" t="s">
        <v>39</v>
      </c>
      <c r="C10" s="90" t="s">
        <v>41</v>
      </c>
      <c r="D10" s="90" t="s">
        <v>42</v>
      </c>
    </row>
    <row r="11" spans="1:4" ht="15.75" thickBot="1" x14ac:dyDescent="0.3">
      <c r="A11" s="91"/>
      <c r="B11" s="92" t="s">
        <v>40</v>
      </c>
      <c r="C11" s="93"/>
      <c r="D11" s="93"/>
    </row>
    <row r="12" spans="1:4" ht="12.6" customHeight="1" x14ac:dyDescent="0.25">
      <c r="A12" s="6"/>
      <c r="B12" s="169" t="s">
        <v>87</v>
      </c>
      <c r="C12" s="169">
        <v>4</v>
      </c>
      <c r="D12" s="9" t="s">
        <v>44</v>
      </c>
    </row>
    <row r="13" spans="1:4" ht="12.6" customHeight="1" x14ac:dyDescent="0.25">
      <c r="A13" s="6" t="s">
        <v>43</v>
      </c>
      <c r="B13" s="170"/>
      <c r="C13" s="170"/>
      <c r="D13" s="21" t="s">
        <v>45</v>
      </c>
    </row>
    <row r="14" spans="1:4" ht="12.6" customHeight="1" thickBot="1" x14ac:dyDescent="0.3">
      <c r="A14" s="7"/>
      <c r="B14" s="171"/>
      <c r="C14" s="171"/>
      <c r="D14" s="10" t="s">
        <v>46</v>
      </c>
    </row>
    <row r="15" spans="1:4" ht="12.6" customHeight="1" x14ac:dyDescent="0.25">
      <c r="A15" s="8"/>
      <c r="B15" s="169" t="s">
        <v>88</v>
      </c>
      <c r="C15" s="169">
        <v>4</v>
      </c>
      <c r="D15" s="9" t="s">
        <v>48</v>
      </c>
    </row>
    <row r="16" spans="1:4" ht="12.6" customHeight="1" x14ac:dyDescent="0.25">
      <c r="A16" s="6" t="s">
        <v>47</v>
      </c>
      <c r="B16" s="170"/>
      <c r="C16" s="170"/>
      <c r="D16" s="9" t="s">
        <v>49</v>
      </c>
    </row>
    <row r="17" spans="1:4" ht="12.6" customHeight="1" thickBot="1" x14ac:dyDescent="0.3">
      <c r="A17" s="7"/>
      <c r="B17" s="171"/>
      <c r="C17" s="171"/>
      <c r="D17" s="10" t="s">
        <v>50</v>
      </c>
    </row>
    <row r="18" spans="1:4" x14ac:dyDescent="0.25">
      <c r="A18" s="94"/>
      <c r="B18" s="90"/>
      <c r="C18" s="90"/>
      <c r="D18" s="90"/>
    </row>
    <row r="19" spans="1:4" ht="12" customHeight="1" x14ac:dyDescent="0.25">
      <c r="A19" s="89" t="s">
        <v>51</v>
      </c>
      <c r="B19" s="90" t="s">
        <v>39</v>
      </c>
      <c r="C19" s="90" t="s">
        <v>41</v>
      </c>
      <c r="D19" s="90" t="s">
        <v>42</v>
      </c>
    </row>
    <row r="20" spans="1:4" ht="16.149999999999999" customHeight="1" thickBot="1" x14ac:dyDescent="0.3">
      <c r="A20" s="95"/>
      <c r="B20" s="92" t="s">
        <v>40</v>
      </c>
      <c r="C20" s="96"/>
      <c r="D20" s="96"/>
    </row>
    <row r="21" spans="1:4" ht="12.6" customHeight="1" x14ac:dyDescent="0.25">
      <c r="A21" s="11"/>
      <c r="B21" s="169" t="s">
        <v>89</v>
      </c>
      <c r="C21" s="169">
        <v>8</v>
      </c>
      <c r="D21" s="9" t="s">
        <v>53</v>
      </c>
    </row>
    <row r="22" spans="1:4" ht="12.6" customHeight="1" x14ac:dyDescent="0.25">
      <c r="A22" s="6" t="s">
        <v>52</v>
      </c>
      <c r="B22" s="170"/>
      <c r="C22" s="170"/>
      <c r="D22" s="9" t="s">
        <v>54</v>
      </c>
    </row>
    <row r="23" spans="1:4" ht="12.6" customHeight="1" thickBot="1" x14ac:dyDescent="0.3">
      <c r="A23" s="12"/>
      <c r="B23" s="171"/>
      <c r="C23" s="171"/>
      <c r="D23" s="10" t="s">
        <v>91</v>
      </c>
    </row>
    <row r="24" spans="1:4" ht="12.6" customHeight="1" x14ac:dyDescent="0.25">
      <c r="A24" s="6"/>
      <c r="B24" s="169" t="s">
        <v>90</v>
      </c>
      <c r="C24" s="169">
        <v>8</v>
      </c>
      <c r="D24" s="9" t="s">
        <v>53</v>
      </c>
    </row>
    <row r="25" spans="1:4" ht="13.15" customHeight="1" x14ac:dyDescent="0.25">
      <c r="A25" s="13" t="s">
        <v>55</v>
      </c>
      <c r="B25" s="170"/>
      <c r="C25" s="170"/>
      <c r="D25" s="9" t="s">
        <v>57</v>
      </c>
    </row>
    <row r="26" spans="1:4" ht="12.6" customHeight="1" thickBot="1" x14ac:dyDescent="0.3">
      <c r="A26" s="12" t="s">
        <v>56</v>
      </c>
      <c r="B26" s="171"/>
      <c r="C26" s="171"/>
      <c r="D26" s="10" t="s">
        <v>92</v>
      </c>
    </row>
    <row r="27" spans="1:4" ht="12.6" customHeight="1" x14ac:dyDescent="0.25">
      <c r="A27" s="23"/>
      <c r="B27" s="24"/>
      <c r="C27" s="24"/>
      <c r="D27" s="25"/>
    </row>
    <row r="28" spans="1:4" ht="12.6" customHeight="1" x14ac:dyDescent="0.25">
      <c r="A28" s="5"/>
    </row>
    <row r="29" spans="1:4" ht="12.6" customHeight="1" x14ac:dyDescent="0.25">
      <c r="A29" s="14" t="s">
        <v>58</v>
      </c>
    </row>
    <row r="30" spans="1:4" ht="12.6" customHeight="1" x14ac:dyDescent="0.25">
      <c r="A30" s="5"/>
    </row>
    <row r="31" spans="1:4" x14ac:dyDescent="0.25">
      <c r="A31" s="14" t="s">
        <v>59</v>
      </c>
    </row>
    <row r="32" spans="1:4" x14ac:dyDescent="0.25">
      <c r="A32" s="5"/>
    </row>
    <row r="33" spans="1:4" x14ac:dyDescent="0.25">
      <c r="A33" s="14" t="s">
        <v>75</v>
      </c>
    </row>
    <row r="34" spans="1:4" x14ac:dyDescent="0.25">
      <c r="A34" s="5"/>
    </row>
    <row r="35" spans="1:4" ht="15" customHeight="1" x14ac:dyDescent="0.25">
      <c r="A35" s="172" t="s">
        <v>76</v>
      </c>
      <c r="B35" s="172"/>
      <c r="C35" s="172"/>
      <c r="D35" s="172"/>
    </row>
    <row r="36" spans="1:4" x14ac:dyDescent="0.25">
      <c r="A36" s="173" t="s">
        <v>77</v>
      </c>
      <c r="B36" s="173"/>
      <c r="C36" s="173"/>
      <c r="D36" s="173"/>
    </row>
    <row r="37" spans="1:4" x14ac:dyDescent="0.25">
      <c r="A37" s="22"/>
      <c r="B37" s="22"/>
      <c r="C37" s="22"/>
      <c r="D37" s="22"/>
    </row>
    <row r="39" spans="1:4" x14ac:dyDescent="0.25">
      <c r="A39" s="15" t="s">
        <v>63</v>
      </c>
      <c r="B39" s="175" t="s">
        <v>95</v>
      </c>
      <c r="C39" s="175"/>
      <c r="D39" s="175"/>
    </row>
    <row r="41" spans="1:4" x14ac:dyDescent="0.25">
      <c r="A41" s="97" t="s">
        <v>60</v>
      </c>
      <c r="B41" s="174" t="s">
        <v>61</v>
      </c>
      <c r="C41" s="174"/>
      <c r="D41" s="98" t="s">
        <v>62</v>
      </c>
    </row>
    <row r="42" spans="1:4" x14ac:dyDescent="0.25">
      <c r="A42" s="17" t="s">
        <v>52</v>
      </c>
      <c r="B42" s="176">
        <v>1</v>
      </c>
      <c r="C42" s="176"/>
      <c r="D42" s="18">
        <v>5850</v>
      </c>
    </row>
    <row r="43" spans="1:4" x14ac:dyDescent="0.25">
      <c r="A43" s="167" t="s">
        <v>64</v>
      </c>
      <c r="B43" s="167"/>
      <c r="C43" s="167"/>
      <c r="D43" s="167"/>
    </row>
    <row r="44" spans="1:4" x14ac:dyDescent="0.25">
      <c r="A44" s="168"/>
      <c r="B44" s="168"/>
      <c r="C44" s="168"/>
      <c r="D44" s="168"/>
    </row>
    <row r="45" spans="1:4" x14ac:dyDescent="0.25">
      <c r="A45" s="161"/>
      <c r="B45" s="162"/>
      <c r="C45" s="162"/>
      <c r="D45" s="163"/>
    </row>
    <row r="46" spans="1:4" x14ac:dyDescent="0.25">
      <c r="A46" s="164"/>
      <c r="B46" s="165"/>
      <c r="C46" s="165"/>
      <c r="D46" s="166"/>
    </row>
    <row r="47" spans="1:4" x14ac:dyDescent="0.25">
      <c r="A47" s="20"/>
      <c r="B47" s="19" t="s">
        <v>68</v>
      </c>
      <c r="C47" s="19"/>
      <c r="D47" s="19"/>
    </row>
    <row r="48" spans="1:4" ht="14.45" customHeight="1" x14ac:dyDescent="0.25"/>
  </sheetData>
  <mergeCells count="15">
    <mergeCell ref="A45:D46"/>
    <mergeCell ref="A43:D44"/>
    <mergeCell ref="C12:C14"/>
    <mergeCell ref="C15:C17"/>
    <mergeCell ref="C21:C23"/>
    <mergeCell ref="C24:C26"/>
    <mergeCell ref="B12:B14"/>
    <mergeCell ref="B15:B17"/>
    <mergeCell ref="B21:B23"/>
    <mergeCell ref="B24:B26"/>
    <mergeCell ref="A35:D35"/>
    <mergeCell ref="A36:D36"/>
    <mergeCell ref="B41:C41"/>
    <mergeCell ref="B39:D39"/>
    <mergeCell ref="B42:C42"/>
  </mergeCells>
  <pageMargins left="0.7" right="0.7" top="0.75" bottom="0.75" header="0.3" footer="0.3"/>
  <pageSetup orientation="portrait" r:id="rId1"/>
  <headerFooter>
    <oddFooter>&amp;LSQ_CALIBRATION RATES_2026_REV1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SERVICE QUOTE</vt:lpstr>
      <vt:lpstr>BIB - CALIBRATION RATES</vt:lpstr>
      <vt:lpstr>'BIB - CALIBRATION RATES'!Print_Area</vt:lpstr>
      <vt:lpstr>'SERVICE QUOTE'!Print_Area</vt:lpstr>
      <vt:lpstr>travel</vt:lpstr>
      <vt:lpstr>travell</vt:lpstr>
    </vt:vector>
  </TitlesOfParts>
  <Company>Scholle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c:creator>
  <cp:lastModifiedBy>Bergren, Brian</cp:lastModifiedBy>
  <cp:lastPrinted>2025-12-26T14:28:47Z</cp:lastPrinted>
  <dcterms:created xsi:type="dcterms:W3CDTF">2010-11-16T20:41:00Z</dcterms:created>
  <dcterms:modified xsi:type="dcterms:W3CDTF">2026-01-26T19:15:59Z</dcterms:modified>
</cp:coreProperties>
</file>