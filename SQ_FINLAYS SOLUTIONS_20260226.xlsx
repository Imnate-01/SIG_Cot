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4" documentId="8_{2A2CB847-C72A-4324-BCEC-8821069D00EE}" xr6:coauthVersionLast="47" xr6:coauthVersionMax="47" xr10:uidLastSave="{ADB47C1E-F516-4B43-97AC-5ADE11CC51E4}"/>
  <bookViews>
    <workbookView xWindow="-110" yWindow="-110" windowWidth="25820" windowHeight="15620" xr2:uid="{00000000-000D-0000-FFFF-FFFF00000000}"/>
  </bookViews>
  <sheets>
    <sheet name="SERVICE QUOTE" sheetId="1" r:id="rId1"/>
    <sheet name="BIB - CALIBRATION RATES" sheetId="3" r:id="rId2"/>
  </sheets>
  <definedNames>
    <definedName name="_xlnm.Print_Area" localSheetId="1">'BIB - CALIBRATION RATES'!$A$1:$D$46</definedName>
    <definedName name="_xlnm.Print_Area" localSheetId="0">'SERVICE QUOTE'!$A$1:$J$58</definedName>
    <definedName name="travel">'SERVICE QUOTE'!$C$14,'SERVICE QUOTE'!$C$15</definedName>
    <definedName name="travell">'SERVICE QUOTE'!$C$14,'SERVICE QUOTE'!$C$15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43" i="1" l="1"/>
  <c r="J51" i="1" s="1"/>
  <c r="J50" i="1"/>
  <c r="C22" i="1" l="1"/>
  <c r="C23" i="1" s="1"/>
  <c r="F40" i="1"/>
  <c r="F25" i="1"/>
  <c r="J29" i="1" l="1"/>
  <c r="J30" i="1"/>
  <c r="J32" i="1"/>
  <c r="J33" i="1"/>
  <c r="J34" i="1"/>
  <c r="J35" i="1"/>
  <c r="J36" i="1"/>
  <c r="J37" i="1"/>
  <c r="J38" i="1"/>
  <c r="J39" i="1"/>
  <c r="J28" i="1"/>
  <c r="J22" i="1"/>
  <c r="J23" i="1"/>
  <c r="J24" i="1"/>
  <c r="J21" i="1"/>
  <c r="J40" i="1" l="1"/>
  <c r="J49" i="1" s="1"/>
  <c r="J25" i="1"/>
  <c r="J48" i="1" s="1"/>
  <c r="J54" i="1" l="1"/>
</calcChain>
</file>

<file path=xl/sharedStrings.xml><?xml version="1.0" encoding="utf-8"?>
<sst xmlns="http://schemas.openxmlformats.org/spreadsheetml/2006/main" count="176" uniqueCount="101">
  <si>
    <t>SCOPE OF VISIT:</t>
  </si>
  <si>
    <t>CUSTOMER:</t>
  </si>
  <si>
    <t>OVERTIME</t>
  </si>
  <si>
    <t>PREMIUM TIME</t>
  </si>
  <si>
    <t>TRAVEL TIME</t>
  </si>
  <si>
    <t>EXPENSES</t>
  </si>
  <si>
    <t>TO:</t>
  </si>
  <si>
    <t>FROM:</t>
  </si>
  <si>
    <t xml:space="preserve"> HRS    X</t>
  </si>
  <si>
    <t>AT COST</t>
  </si>
  <si>
    <t>INCLUDES: AIRFARE OR MILEAGE, HOTEL, MEALS, MISC.</t>
  </si>
  <si>
    <t>CITY/STATE</t>
  </si>
  <si>
    <t>=</t>
  </si>
  <si>
    <t>TRAVEL SUBTOTAL</t>
  </si>
  <si>
    <t>LABOR</t>
  </si>
  <si>
    <t>SUNDAY</t>
  </si>
  <si>
    <t>TUESDAY</t>
  </si>
  <si>
    <t>WEDNESDAY</t>
  </si>
  <si>
    <t>THURSDAY</t>
  </si>
  <si>
    <t>FRIDAY</t>
  </si>
  <si>
    <t>SATURDAY</t>
  </si>
  <si>
    <t xml:space="preserve">MONDAY </t>
  </si>
  <si>
    <t>REG</t>
  </si>
  <si>
    <t>OT</t>
  </si>
  <si>
    <t>DBL</t>
  </si>
  <si>
    <t>LABOR SUBTOTAL</t>
  </si>
  <si>
    <t>EXPENSE SUBTOTAL</t>
  </si>
  <si>
    <t>BILLED AT COST (INCLUDES: AIRFARE OR MILEAGE, HOTEL, MEALS, MISC.)</t>
  </si>
  <si>
    <t>GRAND TOTAL</t>
  </si>
  <si>
    <t xml:space="preserve">TOTAL HRS  = </t>
  </si>
  <si>
    <t>NOTE:</t>
  </si>
  <si>
    <t>FIELD SERVICE RATES - USA</t>
  </si>
  <si>
    <t>M-F 8AM-4PM</t>
  </si>
  <si>
    <t>TRAVEL TIME DOOR TO DOOR MONDAY - FRIDAY</t>
  </si>
  <si>
    <t>PREMIUM 1 TRAVEL TIME</t>
  </si>
  <si>
    <t>PREMIUM 2 TRAVEL TIME</t>
  </si>
  <si>
    <t>TRAVEL TIME ON SATURDAY</t>
  </si>
  <si>
    <t>TRAVEL TIME ON SUNDAYS &amp; HOLIDAYS</t>
  </si>
  <si>
    <t>Calibration Service Rates</t>
  </si>
  <si>
    <t>Fixed Cost</t>
  </si>
  <si>
    <t>8am-4pm</t>
  </si>
  <si>
    <t>Est Hours</t>
  </si>
  <si>
    <t>Included In Cost</t>
  </si>
  <si>
    <t>VST Annual Calibration</t>
  </si>
  <si>
    <r>
      <t>·</t>
    </r>
    <r>
      <rPr>
        <sz val="7"/>
        <color theme="1"/>
        <rFont val="Times New Roman"/>
        <family val="1"/>
      </rPr>
      <t xml:space="preserve">        </t>
    </r>
    <r>
      <rPr>
        <sz val="8"/>
        <color theme="1"/>
        <rFont val="Cambria"/>
        <family val="1"/>
      </rPr>
      <t>Basic Annual PM Parts</t>
    </r>
  </si>
  <si>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</si>
  <si>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</si>
  <si>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RTD Annual Calibration</t>
  </si>
  <si>
    <r>
      <t>·</t>
    </r>
    <r>
      <rPr>
        <sz val="7"/>
        <color theme="1"/>
        <rFont val="Times New Roman"/>
        <family val="1"/>
      </rPr>
      <t xml:space="preserve">        </t>
    </r>
    <r>
      <rPr>
        <sz val="8"/>
        <color theme="1"/>
        <rFont val="Cambria"/>
        <family val="1"/>
      </rPr>
      <t>Certs for each RTD</t>
    </r>
  </si>
  <si>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</si>
  <si>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</si>
  <si>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</si>
  <si>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VST &amp; RTD Calibration (Same Day)</t>
  </si>
  <si>
    <r>
      <t>·</t>
    </r>
    <r>
      <rPr>
        <sz val="7"/>
        <color theme="1"/>
        <rFont val="Times New Roman"/>
        <family val="1"/>
      </rPr>
      <t xml:space="preserve">        </t>
    </r>
    <r>
      <rPr>
        <sz val="8"/>
        <color theme="1"/>
        <rFont val="Cambria"/>
        <family val="1"/>
      </rPr>
      <t>Includes all of the above</t>
    </r>
  </si>
  <si>
    <r>
      <t>·</t>
    </r>
    <r>
      <rPr>
        <sz val="7"/>
        <color theme="1"/>
        <rFont val="Times New Roman"/>
        <family val="1"/>
      </rPr>
      <t xml:space="preserve">        </t>
    </r>
    <r>
      <rPr>
        <sz val="8"/>
        <color theme="1"/>
        <rFont val="Cambria"/>
        <family val="1"/>
      </rPr>
      <t>Must be same day</t>
    </r>
  </si>
  <si>
    <t>VST &amp; RTD Calibration Multi-Machine Discount</t>
  </si>
  <si>
    <t xml:space="preserve"> (3 or more machines on same visit)</t>
  </si>
  <si>
    <r>
      <t>·</t>
    </r>
    <r>
      <rPr>
        <sz val="7"/>
        <color theme="1"/>
        <rFont val="Times New Roman"/>
        <family val="1"/>
      </rPr>
      <t xml:space="preserve">        </t>
    </r>
    <r>
      <rPr>
        <sz val="8"/>
        <color theme="1"/>
        <rFont val="Cambria"/>
        <family val="1"/>
      </rPr>
      <t>Must be same visit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</si>
  <si>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</si>
  <si>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</si>
  <si>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t>Calibration Package Offered</t>
  </si>
  <si>
    <t>Number Of Machines</t>
  </si>
  <si>
    <t>Total Cost</t>
  </si>
  <si>
    <t>Calibration Offering For :</t>
  </si>
  <si>
    <t>Notes:</t>
  </si>
  <si>
    <t>PREPARATION TIME</t>
  </si>
  <si>
    <t>PREPARATION SUBTOTAL</t>
  </si>
  <si>
    <t>Quoted by Brian Bergren on:</t>
  </si>
  <si>
    <t xml:space="preserve">    PAGE 2</t>
  </si>
  <si>
    <t>SIG SERVICE QUOTE - STANDARD RATES USD</t>
  </si>
  <si>
    <t>REGULAR TIME</t>
  </si>
  <si>
    <t>(SEE PAGE 2)      CALIBRATION SUBTOTAL</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</si>
  <si>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</si>
  <si>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 xml:space="preserve">      SALES ACCOMMODATION SUBTOTAL</t>
  </si>
  <si>
    <t>Field Service Calibration Offerings – SIG</t>
  </si>
  <si>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</si>
  <si>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</si>
  <si>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</si>
  <si>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$208.00/HR</t>
  </si>
  <si>
    <t>$312.00/HR</t>
  </si>
  <si>
    <t>$416.00/HR</t>
  </si>
  <si>
    <t>$181.00/HR</t>
  </si>
  <si>
    <t>$272.00/HR</t>
  </si>
  <si>
    <t>$362.00/HR</t>
  </si>
  <si>
    <t>M-F 4PM-8AM/WEEKDAYS OVER 8HRS</t>
  </si>
  <si>
    <t>SATURDAY, SUNDAY &amp; HOLIDAYS</t>
  </si>
  <si>
    <r>
      <t>Unchanged since January 1</t>
    </r>
    <r>
      <rPr>
        <vertAlign val="superscript"/>
        <sz val="10"/>
        <color theme="1"/>
        <rFont val="Cambria"/>
        <family val="1"/>
      </rPr>
      <t>st</t>
    </r>
    <r>
      <rPr>
        <sz val="10"/>
        <color theme="1"/>
        <rFont val="Cambria"/>
        <family val="1"/>
      </rPr>
      <t>, 2026</t>
    </r>
  </si>
  <si>
    <t>$4,550 / Machine</t>
  </si>
  <si>
    <t>$2,275 / Machine</t>
  </si>
  <si>
    <t>$5,850 / Machine</t>
  </si>
  <si>
    <t>$3,900 / Machine</t>
  </si>
  <si>
    <r>
      <t>·</t>
    </r>
    <r>
      <rPr>
        <sz val="7"/>
        <color theme="1"/>
        <rFont val="Times New Roman"/>
        <family val="1"/>
      </rPr>
      <t xml:space="preserve">        </t>
    </r>
    <r>
      <rPr>
        <sz val="8"/>
        <color theme="1"/>
        <rFont val="Cambria"/>
        <family val="1"/>
      </rPr>
      <t>$975.00 discount</t>
    </r>
  </si>
  <si>
    <r>
      <t>·</t>
    </r>
    <r>
      <rPr>
        <sz val="7"/>
        <color theme="1"/>
        <rFont val="Times New Roman"/>
        <family val="1"/>
      </rPr>
      <t xml:space="preserve">        </t>
    </r>
    <r>
      <rPr>
        <sz val="8"/>
        <color theme="1"/>
        <rFont val="Cambria"/>
        <family val="1"/>
      </rPr>
      <t>Additional $1.950.00 discount</t>
    </r>
  </si>
  <si>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</si>
  <si>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t>Chicago</t>
  </si>
  <si>
    <t>Saputo Frederick</t>
  </si>
  <si>
    <t>QUOTE #:20260226</t>
  </si>
  <si>
    <t>Finlays Solutions</t>
  </si>
  <si>
    <t>New Lenox, IL</t>
  </si>
  <si>
    <t>Operator Training</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</si>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</sst>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quot;$&quot;#,##0.00"/>
    <numFmt numFmtId="165" formatCode="m/d/yy;@"/>
    <numFmt numFmtId="166" formatCode="&quot;$&quot;#,##0"/>
  </numFmts>
  <fonts count="34" x14ac:knownFonts="1">
    <font>
      <sz val="11"/>
      <color theme="1"/>
      <name val="Calibri"/>
      <family val="2"/>
      <scheme val="minor"/>
    </font>
    <font>
      <sz val="8"/>
      <color theme="1"/>
      <name val="Calibri"/>
      <family val="2"/>
      <scheme val="minor"/>
    </font>
    <font>
      <b/>
      <sz val="8"/>
      <color theme="1"/>
      <name val="Calibri"/>
      <family val="2"/>
      <scheme val="minor"/>
    </font>
    <font>
      <b/>
      <sz val="12"/>
      <color theme="1"/>
      <name val="Franklin Gothic Demi Cond"/>
      <family val="2"/>
    </font>
    <font>
      <sz val="10"/>
      <color theme="1"/>
      <name val="Franklin Gothic Demi Cond"/>
      <family val="2"/>
    </font>
    <font>
      <sz val="10"/>
      <color theme="1"/>
      <name val="Franklin Gothic Demi"/>
      <family val="2"/>
    </font>
    <font>
      <b/>
      <sz val="10"/>
      <color theme="1"/>
      <name val="Calibri"/>
      <family val="2"/>
      <scheme val="minor"/>
    </font>
    <font>
      <b/>
      <sz val="10"/>
      <color rgb="FFFF0000"/>
      <name val="Calibri"/>
      <family val="2"/>
      <scheme val="minor"/>
    </font>
    <font>
      <sz val="8"/>
      <color theme="1" tint="4.9989318521683403E-2"/>
      <name val="Calibri"/>
      <family val="2"/>
      <scheme val="minor"/>
    </font>
    <font>
      <b/>
      <sz val="11"/>
      <color theme="1"/>
      <name val="Calibri"/>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12"/>
      <color rgb="FFFFFFFF"/>
      <name val="Cambria"/>
      <family val="1"/>
    </font>
    <font>
      <b/>
      <sz val="9"/>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b/>
      <sz val="8"/>
      <color theme="0" tint="-0.34998626667073579"/>
      <name val="Calibri"/>
      <family val="2"/>
      <scheme val="minor"/>
    </font>
    <font>
      <b/>
      <sz val="11"/>
      <color theme="3" tint="-0.249977111117893"/>
      <name val="Calibri"/>
      <family val="2"/>
      <scheme val="minor"/>
    </font>
    <font>
      <b/>
      <sz val="10"/>
      <color theme="3"/>
      <name val="Calibri"/>
      <family val="2"/>
      <scheme val="minor"/>
    </font>
    <font>
      <sz val="11"/>
      <color theme="3"/>
      <name val="Calibri"/>
      <family val="2"/>
      <scheme val="minor"/>
    </font>
    <font>
      <sz val="10"/>
      <color theme="1"/>
      <name val="Times New Roman"/>
      <family val="1"/>
    </font>
    <font>
      <b/>
      <sz val="11"/>
      <color theme="0"/>
      <name val="Calibri"/>
      <family val="2"/>
      <scheme val="minor"/>
    </font>
    <font>
      <sz val="11"/>
      <color theme="0"/>
      <name val="Calibri"/>
      <family val="2"/>
      <scheme val="minor"/>
    </font>
    <font>
      <b/>
      <sz val="10"/>
      <color theme="0"/>
      <name val="Calibri"/>
      <family val="2"/>
      <scheme val="minor"/>
    </font>
    <font>
      <b/>
      <sz val="8"/>
      <color theme="0"/>
      <name val="Calibri"/>
      <family val="2"/>
      <scheme val="minor"/>
    </font>
    <font>
      <sz val="6"/>
      <color theme="3"/>
      <name val="PP SIG Flow"/>
      <family val="3"/>
    </font>
    <font>
      <b/>
      <sz val="10"/>
      <color theme="3" tint="-0.249977111117893"/>
      <name val="Calibri"/>
      <family val="2"/>
      <scheme val="minor"/>
    </font>
    <font>
      <sz val="10"/>
      <color rgb="FF0070C0"/>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78">
    <xf numFmtId="0" fontId="0" fillId="0" borderId="0" xfId="0"/>
    <xf numFmtId="0" fontId="4" fillId="0" borderId="0" xfId="0" applyFont="1"/>
    <xf numFmtId="0" fontId="1" fillId="0" borderId="0" xfId="0" applyFont="1" applyAlignment="1">
      <alignment horizontal="left" vertical="top" wrapText="1"/>
    </xf>
    <xf numFmtId="0" fontId="1" fillId="0" borderId="0" xfId="0" applyFont="1" applyAlignment="1">
      <alignment horizontal="left" vertical="top"/>
    </xf>
    <xf numFmtId="0" fontId="10" fillId="0" borderId="0" xfId="0" applyFont="1" applyAlignment="1">
      <alignment vertical="center"/>
    </xf>
    <xf numFmtId="0" fontId="11" fillId="0" borderId="0" xfId="0" applyFont="1" applyAlignment="1">
      <alignment vertical="center"/>
    </xf>
    <xf numFmtId="0" fontId="16" fillId="0" borderId="14" xfId="0" applyFont="1" applyBorder="1" applyAlignment="1">
      <alignment horizontal="center" vertical="center" wrapText="1"/>
    </xf>
    <xf numFmtId="0" fontId="0" fillId="0" borderId="15" xfId="0" applyBorder="1" applyAlignment="1">
      <alignment vertical="top" wrapText="1"/>
    </xf>
    <xf numFmtId="0" fontId="20" fillId="0" borderId="14" xfId="0" applyFont="1" applyBorder="1" applyAlignment="1">
      <alignment vertical="center" wrapText="1"/>
    </xf>
    <xf numFmtId="0" fontId="18" fillId="0" borderId="17" xfId="0" applyFont="1" applyBorder="1" applyAlignment="1">
      <alignment horizontal="left" vertical="center" wrapText="1" indent="2"/>
    </xf>
    <xf numFmtId="0" fontId="18" fillId="0" borderId="18" xfId="0" applyFont="1" applyBorder="1" applyAlignment="1">
      <alignment horizontal="left" vertical="center" wrapText="1" indent="2"/>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4" xfId="0" applyFont="1" applyBorder="1" applyAlignment="1">
      <alignment vertical="center" wrapText="1"/>
    </xf>
    <xf numFmtId="0" fontId="21" fillId="0" borderId="0" xfId="0" applyFont="1" applyAlignment="1">
      <alignment horizontal="left" vertical="center"/>
    </xf>
    <xf numFmtId="0" fontId="9" fillId="0" borderId="0" xfId="0" applyFont="1" applyAlignment="1">
      <alignment horizontal="right"/>
    </xf>
    <xf numFmtId="0" fontId="2" fillId="0" borderId="0" xfId="0" applyFont="1" applyAlignment="1">
      <alignment horizontal="center"/>
    </xf>
    <xf numFmtId="0" fontId="0" fillId="0" borderId="1" xfId="0" applyBorder="1" applyProtection="1">
      <protection locked="0"/>
    </xf>
    <xf numFmtId="166" fontId="0" fillId="0" borderId="1" xfId="0" applyNumberFormat="1" applyBorder="1" applyAlignment="1" applyProtection="1">
      <alignment horizontal="center"/>
      <protection locked="0"/>
    </xf>
    <xf numFmtId="0" fontId="2" fillId="0" borderId="2" xfId="0" applyFont="1" applyBorder="1" applyAlignment="1">
      <alignment wrapText="1"/>
    </xf>
    <xf numFmtId="0" fontId="22" fillId="0" borderId="2" xfId="0" applyFont="1" applyBorder="1" applyAlignment="1">
      <alignment wrapText="1"/>
    </xf>
    <xf numFmtId="0" fontId="18" fillId="0" borderId="17" xfId="0" applyFont="1" applyBorder="1" applyAlignment="1">
      <alignment horizontal="left" vertical="center" indent="2"/>
    </xf>
    <xf numFmtId="0" fontId="21" fillId="0" borderId="0" xfId="0" applyFont="1" applyAlignment="1">
      <alignment horizontal="left" vertical="center" wrapText="1"/>
    </xf>
    <xf numFmtId="0" fontId="20" fillId="0" borderId="0" xfId="0" applyFont="1"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left" vertical="center" wrapText="1" indent="2"/>
    </xf>
    <xf numFmtId="0" fontId="2" fillId="3" borderId="8" xfId="0" applyFont="1" applyFill="1" applyBorder="1" applyAlignment="1">
      <alignment horizontal="right"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6" fillId="2" borderId="7" xfId="0" applyFont="1" applyFill="1" applyBorder="1" applyAlignment="1">
      <alignment horizontal="right" vertical="center"/>
    </xf>
    <xf numFmtId="0" fontId="2" fillId="2" borderId="8" xfId="0" applyFont="1" applyFill="1" applyBorder="1" applyAlignment="1">
      <alignment horizontal="right" vertical="center"/>
    </xf>
    <xf numFmtId="0" fontId="2" fillId="2" borderId="8" xfId="0" applyFont="1" applyFill="1" applyBorder="1" applyAlignment="1">
      <alignment horizontal="center" vertical="center"/>
    </xf>
    <xf numFmtId="0" fontId="2" fillId="2" borderId="10" xfId="0" applyFont="1" applyFill="1" applyBorder="1" applyAlignment="1">
      <alignment horizontal="right" vertical="center"/>
    </xf>
    <xf numFmtId="8" fontId="2" fillId="2" borderId="9" xfId="0" applyNumberFormat="1" applyFont="1" applyFill="1" applyBorder="1" applyAlignment="1">
      <alignment horizontal="right" vertical="center"/>
    </xf>
    <xf numFmtId="0" fontId="2" fillId="2" borderId="7" xfId="0" applyFont="1" applyFill="1" applyBorder="1" applyAlignment="1">
      <alignment vertical="center"/>
    </xf>
    <xf numFmtId="0" fontId="2" fillId="2" borderId="8" xfId="0" applyFont="1" applyFill="1" applyBorder="1" applyAlignment="1">
      <alignment vertical="center"/>
    </xf>
    <xf numFmtId="0" fontId="2" fillId="2" borderId="10" xfId="0" applyFont="1" applyFill="1" applyBorder="1" applyAlignment="1">
      <alignment horizontal="center" vertical="center"/>
    </xf>
    <xf numFmtId="8" fontId="2" fillId="2" borderId="9" xfId="0" applyNumberFormat="1" applyFont="1" applyFill="1" applyBorder="1" applyAlignment="1">
      <alignment vertical="center"/>
    </xf>
    <xf numFmtId="164" fontId="2" fillId="2" borderId="12" xfId="0" applyNumberFormat="1" applyFont="1" applyFill="1" applyBorder="1" applyAlignment="1" applyProtection="1">
      <alignment vertical="center"/>
      <protection locked="0"/>
    </xf>
    <xf numFmtId="0" fontId="1" fillId="2" borderId="10" xfId="0" applyFont="1" applyFill="1" applyBorder="1" applyAlignment="1">
      <alignment horizontal="left" vertical="center"/>
    </xf>
    <xf numFmtId="0" fontId="1" fillId="2" borderId="1" xfId="0" applyFont="1" applyFill="1" applyBorder="1" applyAlignment="1" applyProtection="1">
      <alignment horizontal="center" vertical="center"/>
      <protection locked="0"/>
    </xf>
    <xf numFmtId="8" fontId="1" fillId="2" borderId="12" xfId="0" applyNumberFormat="1" applyFont="1" applyFill="1" applyBorder="1" applyAlignment="1">
      <alignment vertical="center"/>
    </xf>
    <xf numFmtId="0" fontId="1" fillId="3" borderId="10" xfId="0" applyFont="1" applyFill="1" applyBorder="1" applyAlignment="1">
      <alignment horizontal="left" vertical="center"/>
    </xf>
    <xf numFmtId="0" fontId="1" fillId="3" borderId="1" xfId="0" applyFont="1" applyFill="1" applyBorder="1" applyAlignment="1" applyProtection="1">
      <alignment horizontal="center" vertical="center"/>
      <protection locked="0"/>
    </xf>
    <xf numFmtId="8" fontId="1" fillId="3" borderId="12" xfId="0" applyNumberFormat="1" applyFont="1" applyFill="1" applyBorder="1" applyAlignment="1">
      <alignment vertical="center"/>
    </xf>
    <xf numFmtId="0" fontId="1" fillId="3" borderId="10" xfId="0" applyFont="1" applyFill="1" applyBorder="1" applyAlignment="1">
      <alignment horizontal="left" vertical="center" wrapText="1"/>
    </xf>
    <xf numFmtId="0" fontId="1" fillId="3" borderId="1" xfId="0" applyFont="1" applyFill="1" applyBorder="1" applyAlignment="1" applyProtection="1">
      <alignment horizontal="center" vertical="center" wrapText="1"/>
      <protection locked="0"/>
    </xf>
    <xf numFmtId="0" fontId="2" fillId="2" borderId="8" xfId="0" applyFont="1" applyFill="1" applyBorder="1" applyAlignment="1">
      <alignment horizontal="center"/>
    </xf>
    <xf numFmtId="0" fontId="8" fillId="2" borderId="1" xfId="0" applyFont="1" applyFill="1" applyBorder="1" applyAlignment="1" applyProtection="1">
      <alignment horizontal="center" vertical="center"/>
      <protection locked="0"/>
    </xf>
    <xf numFmtId="8" fontId="1" fillId="2" borderId="6" xfId="0" applyNumberFormat="1" applyFont="1" applyFill="1" applyBorder="1" applyAlignment="1">
      <alignment vertical="center"/>
    </xf>
    <xf numFmtId="0" fontId="8" fillId="3" borderId="1" xfId="0" applyFont="1" applyFill="1" applyBorder="1" applyAlignment="1" applyProtection="1">
      <alignment horizontal="center" vertical="center"/>
      <protection locked="0"/>
    </xf>
    <xf numFmtId="8" fontId="1" fillId="3" borderId="9" xfId="0" applyNumberFormat="1" applyFont="1" applyFill="1" applyBorder="1" applyAlignment="1">
      <alignment vertical="center"/>
    </xf>
    <xf numFmtId="0" fontId="0" fillId="2" borderId="10" xfId="0" applyFill="1" applyBorder="1" applyAlignment="1">
      <alignment horizontal="center" vertical="center"/>
    </xf>
    <xf numFmtId="8" fontId="2" fillId="2" borderId="12" xfId="0" applyNumberFormat="1" applyFont="1" applyFill="1" applyBorder="1" applyAlignment="1">
      <alignment vertical="center"/>
    </xf>
    <xf numFmtId="0" fontId="6" fillId="2" borderId="8" xfId="0" applyFont="1" applyFill="1" applyBorder="1" applyAlignment="1">
      <alignment horizontal="center" vertical="center"/>
    </xf>
    <xf numFmtId="8" fontId="7" fillId="2" borderId="12" xfId="0" applyNumberFormat="1" applyFont="1" applyFill="1" applyBorder="1" applyAlignment="1">
      <alignment vertical="center"/>
    </xf>
    <xf numFmtId="0" fontId="29" fillId="4" borderId="10" xfId="0" applyFont="1" applyFill="1" applyBorder="1"/>
    <xf numFmtId="0" fontId="29" fillId="4" borderId="12" xfId="0" applyFont="1" applyFill="1" applyBorder="1"/>
    <xf numFmtId="0" fontId="29" fillId="4" borderId="11" xfId="0" applyFont="1" applyFill="1" applyBorder="1" applyAlignment="1">
      <alignment vertical="center"/>
    </xf>
    <xf numFmtId="0" fontId="29" fillId="4" borderId="10" xfId="0" applyFont="1" applyFill="1" applyBorder="1" applyAlignment="1">
      <alignment vertical="center"/>
    </xf>
    <xf numFmtId="0" fontId="29" fillId="4" borderId="12" xfId="0" applyFont="1" applyFill="1" applyBorder="1" applyAlignment="1">
      <alignment vertical="center"/>
    </xf>
    <xf numFmtId="0" fontId="30" fillId="4" borderId="8" xfId="0" applyFont="1" applyFill="1" applyBorder="1" applyAlignment="1">
      <alignment horizontal="center" vertical="center"/>
    </xf>
    <xf numFmtId="0" fontId="30" fillId="4" borderId="10" xfId="0" applyFont="1" applyFill="1" applyBorder="1" applyAlignment="1">
      <alignment horizontal="center" vertical="center"/>
    </xf>
    <xf numFmtId="0" fontId="28" fillId="4" borderId="11" xfId="0" applyFont="1" applyFill="1" applyBorder="1"/>
    <xf numFmtId="0" fontId="28" fillId="4" borderId="10" xfId="0" applyFont="1" applyFill="1" applyBorder="1"/>
    <xf numFmtId="0" fontId="28" fillId="4" borderId="12" xfId="0" applyFont="1" applyFill="1" applyBorder="1"/>
    <xf numFmtId="0" fontId="2" fillId="2" borderId="2" xfId="0" applyFont="1" applyFill="1" applyBorder="1" applyAlignment="1">
      <alignment horizontal="center"/>
    </xf>
    <xf numFmtId="0" fontId="2" fillId="2" borderId="5" xfId="0" applyFont="1" applyFill="1" applyBorder="1" applyAlignment="1">
      <alignment horizontal="right"/>
    </xf>
    <xf numFmtId="0" fontId="2"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center"/>
    </xf>
    <xf numFmtId="8" fontId="2" fillId="2" borderId="0" xfId="0" applyNumberFormat="1" applyFont="1" applyFill="1" applyAlignment="1">
      <alignment vertical="center"/>
    </xf>
    <xf numFmtId="8" fontId="2" fillId="3" borderId="8" xfId="0" applyNumberFormat="1" applyFont="1" applyFill="1" applyBorder="1" applyAlignment="1">
      <alignment vertical="center"/>
    </xf>
    <xf numFmtId="8" fontId="2" fillId="2" borderId="10" xfId="0" applyNumberFormat="1" applyFont="1" applyFill="1" applyBorder="1" applyAlignment="1">
      <alignment vertical="center"/>
    </xf>
    <xf numFmtId="8" fontId="2" fillId="3" borderId="10" xfId="0" applyNumberFormat="1" applyFont="1" applyFill="1" applyBorder="1" applyAlignment="1">
      <alignment vertical="center"/>
    </xf>
    <xf numFmtId="0" fontId="2" fillId="3" borderId="10" xfId="0" applyFont="1" applyFill="1" applyBorder="1" applyAlignment="1">
      <alignment horizontal="center" vertical="center" wrapText="1"/>
    </xf>
    <xf numFmtId="0" fontId="2" fillId="2" borderId="0" xfId="0" applyFont="1" applyFill="1" applyAlignment="1">
      <alignment horizontal="right" vertical="center"/>
    </xf>
    <xf numFmtId="14" fontId="1" fillId="2" borderId="5" xfId="0" applyNumberFormat="1" applyFont="1" applyFill="1" applyBorder="1" applyAlignment="1" applyProtection="1">
      <alignment horizontal="center" vertical="center"/>
      <protection locked="0"/>
    </xf>
    <xf numFmtId="14" fontId="1" fillId="3" borderId="7" xfId="0" applyNumberFormat="1" applyFont="1" applyFill="1" applyBorder="1" applyAlignment="1">
      <alignment horizontal="center" vertical="center"/>
    </xf>
    <xf numFmtId="165" fontId="1" fillId="3" borderId="7" xfId="0" applyNumberFormat="1" applyFont="1" applyFill="1" applyBorder="1" applyAlignment="1">
      <alignment horizontal="center" vertical="center"/>
    </xf>
    <xf numFmtId="14" fontId="1" fillId="2" borderId="11" xfId="0" applyNumberFormat="1" applyFont="1" applyFill="1" applyBorder="1" applyAlignment="1" applyProtection="1">
      <alignment horizontal="center" vertical="center"/>
      <protection locked="0"/>
    </xf>
    <xf numFmtId="14" fontId="1" fillId="3" borderId="11"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xf>
    <xf numFmtId="14" fontId="1" fillId="3" borderId="11" xfId="0" applyNumberFormat="1" applyFont="1" applyFill="1" applyBorder="1" applyAlignment="1">
      <alignment horizontal="center" vertical="center" wrapText="1"/>
    </xf>
    <xf numFmtId="0" fontId="31" fillId="0" borderId="0" xfId="0" applyFont="1" applyAlignment="1">
      <alignment vertical="top" wrapText="1"/>
    </xf>
    <xf numFmtId="0" fontId="23" fillId="0" borderId="0" xfId="0" applyFont="1" applyAlignment="1" applyProtection="1">
      <alignment vertical="top"/>
      <protection locked="0"/>
    </xf>
    <xf numFmtId="0" fontId="23" fillId="0" borderId="8" xfId="0" applyFont="1" applyBorder="1" applyAlignment="1" applyProtection="1">
      <alignment vertical="top"/>
      <protection locked="0"/>
    </xf>
    <xf numFmtId="0" fontId="13" fillId="4" borderId="13" xfId="0" applyFont="1" applyFill="1" applyBorder="1" applyAlignment="1">
      <alignment horizontal="center" vertical="center" wrapText="1"/>
    </xf>
    <xf numFmtId="0" fontId="15" fillId="4" borderId="16"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5" fillId="4" borderId="17" xfId="0" applyFont="1" applyFill="1" applyBorder="1" applyAlignment="1">
      <alignment horizontal="center" vertical="center" wrapText="1"/>
    </xf>
    <xf numFmtId="0" fontId="0" fillId="4" borderId="15" xfId="0" applyFill="1" applyBorder="1" applyAlignment="1">
      <alignment vertical="top" wrapText="1"/>
    </xf>
    <xf numFmtId="0" fontId="15" fillId="4" borderId="18" xfId="0" applyFont="1" applyFill="1" applyBorder="1" applyAlignment="1">
      <alignment horizontal="center" vertical="center" wrapText="1"/>
    </xf>
    <xf numFmtId="0" fontId="0" fillId="4" borderId="18" xfId="0" applyFill="1" applyBorder="1" applyAlignment="1">
      <alignment vertical="top" wrapText="1"/>
    </xf>
    <xf numFmtId="0" fontId="15" fillId="4" borderId="14" xfId="0" applyFont="1" applyFill="1" applyBorder="1" applyAlignment="1">
      <alignment vertical="center" wrapText="1"/>
    </xf>
    <xf numFmtId="0" fontId="0" fillId="4" borderId="15" xfId="0" applyFill="1" applyBorder="1" applyAlignment="1">
      <alignment vertical="center" wrapText="1"/>
    </xf>
    <xf numFmtId="0" fontId="0" fillId="4" borderId="18" xfId="0" applyFill="1" applyBorder="1" applyAlignment="1">
      <alignment vertical="center" wrapText="1"/>
    </xf>
    <xf numFmtId="0" fontId="27" fillId="4" borderId="1" xfId="0" applyFont="1" applyFill="1" applyBorder="1" applyAlignment="1">
      <alignment vertical="center"/>
    </xf>
    <xf numFmtId="0" fontId="27" fillId="4" borderId="1" xfId="0" applyFont="1" applyFill="1" applyBorder="1" applyAlignment="1">
      <alignment horizontal="center" vertical="center"/>
    </xf>
    <xf numFmtId="0" fontId="31" fillId="0" borderId="0" xfId="0" applyFont="1" applyAlignment="1">
      <alignment horizontal="left" vertical="top" wrapText="1"/>
    </xf>
    <xf numFmtId="0" fontId="31" fillId="5" borderId="0" xfId="0" applyFont="1" applyFill="1" applyAlignment="1">
      <alignment horizontal="left" vertical="top" wrapText="1"/>
    </xf>
    <xf numFmtId="0" fontId="32" fillId="0" borderId="0" xfId="0" applyFont="1" applyAlignment="1" applyProtection="1">
      <alignment horizontal="right" vertical="top"/>
      <protection locked="0"/>
    </xf>
    <xf numFmtId="0" fontId="7" fillId="2" borderId="11" xfId="0" applyFont="1" applyFill="1" applyBorder="1" applyAlignment="1">
      <alignment horizontal="right" vertical="center"/>
    </xf>
    <xf numFmtId="0" fontId="7" fillId="2" borderId="10" xfId="0" applyFont="1" applyFill="1" applyBorder="1" applyAlignment="1">
      <alignment horizontal="right" vertical="center"/>
    </xf>
    <xf numFmtId="0" fontId="29" fillId="4" borderId="11" xfId="0" applyFont="1" applyFill="1" applyBorder="1" applyAlignment="1">
      <alignment horizontal="left" vertical="center"/>
    </xf>
    <xf numFmtId="0" fontId="29" fillId="4" borderId="10" xfId="0" applyFont="1" applyFill="1" applyBorder="1" applyAlignment="1">
      <alignment horizontal="left" vertical="center"/>
    </xf>
    <xf numFmtId="0" fontId="29" fillId="4" borderId="12" xfId="0" applyFont="1" applyFill="1" applyBorder="1" applyAlignment="1">
      <alignment horizontal="left" vertical="center"/>
    </xf>
    <xf numFmtId="0" fontId="1" fillId="2" borderId="11" xfId="0" applyFont="1" applyFill="1" applyBorder="1" applyAlignment="1" applyProtection="1">
      <alignment horizontal="center" vertical="center"/>
      <protection locked="0"/>
    </xf>
    <xf numFmtId="0" fontId="1" fillId="2" borderId="10" xfId="0" applyFont="1" applyFill="1" applyBorder="1" applyAlignment="1" applyProtection="1">
      <alignment horizontal="center" vertical="center"/>
      <protection locked="0"/>
    </xf>
    <xf numFmtId="0" fontId="30" fillId="4" borderId="11" xfId="0" applyFont="1" applyFill="1" applyBorder="1" applyAlignment="1">
      <alignment horizontal="right" vertical="center"/>
    </xf>
    <xf numFmtId="0" fontId="30" fillId="4" borderId="10" xfId="0" applyFont="1" applyFill="1" applyBorder="1" applyAlignment="1">
      <alignment horizontal="righ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2" fillId="2" borderId="0" xfId="0" applyFont="1" applyFill="1" applyAlignment="1">
      <alignment horizontal="left" vertical="center" indent="3"/>
    </xf>
    <xf numFmtId="0" fontId="2" fillId="2" borderId="6" xfId="0" applyFont="1" applyFill="1" applyBorder="1" applyAlignment="1">
      <alignment horizontal="left" vertical="center" indent="3"/>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8" xfId="0" applyFont="1" applyFill="1" applyBorder="1" applyAlignment="1">
      <alignment horizontal="left" vertical="center" indent="3"/>
    </xf>
    <xf numFmtId="0" fontId="2" fillId="2" borderId="9" xfId="0" applyFont="1" applyFill="1" applyBorder="1" applyAlignment="1">
      <alignment horizontal="left" vertical="center" indent="3"/>
    </xf>
    <xf numFmtId="0" fontId="2" fillId="2" borderId="5" xfId="0" applyFont="1" applyFill="1" applyBorder="1" applyAlignment="1">
      <alignment horizontal="right"/>
    </xf>
    <xf numFmtId="0" fontId="2" fillId="2" borderId="0" xfId="0" applyFont="1" applyFill="1" applyAlignment="1">
      <alignment horizontal="right"/>
    </xf>
    <xf numFmtId="0" fontId="0" fillId="0" borderId="1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29" fillId="4" borderId="10" xfId="0" applyFont="1" applyFill="1" applyBorder="1" applyAlignment="1">
      <alignment horizontal="center" vertical="center"/>
    </xf>
    <xf numFmtId="0" fontId="2" fillId="2" borderId="3"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horizontal="center"/>
    </xf>
    <xf numFmtId="0" fontId="2" fillId="2" borderId="10" xfId="0" applyFont="1" applyFill="1" applyBorder="1" applyAlignment="1">
      <alignment horizontal="right" vertical="center"/>
    </xf>
    <xf numFmtId="0" fontId="2" fillId="2" borderId="0" xfId="0" applyFont="1" applyFill="1" applyAlignment="1">
      <alignment horizontal="center"/>
    </xf>
    <xf numFmtId="0" fontId="2" fillId="2" borderId="2" xfId="0" applyFont="1" applyFill="1" applyBorder="1" applyAlignment="1">
      <alignment horizontal="left" vertical="center" indent="3"/>
    </xf>
    <xf numFmtId="0" fontId="2" fillId="2" borderId="4" xfId="0" applyFont="1" applyFill="1" applyBorder="1" applyAlignment="1">
      <alignment horizontal="left" vertical="center" indent="3"/>
    </xf>
    <xf numFmtId="0" fontId="1" fillId="0" borderId="10" xfId="0" applyFont="1" applyBorder="1" applyAlignment="1">
      <alignment horizontal="center"/>
    </xf>
    <xf numFmtId="0" fontId="3" fillId="0" borderId="1" xfId="0" applyFont="1" applyBorder="1" applyAlignment="1">
      <alignment horizontal="center"/>
    </xf>
    <xf numFmtId="0" fontId="5" fillId="0" borderId="0" xfId="0" applyFont="1" applyAlignment="1">
      <alignment horizontal="right" vertical="center"/>
    </xf>
    <xf numFmtId="0" fontId="0" fillId="0" borderId="2" xfId="0" applyBorder="1" applyAlignment="1">
      <alignment horizontal="center"/>
    </xf>
    <xf numFmtId="0" fontId="4" fillId="0" borderId="0" xfId="0" applyFont="1" applyAlignment="1">
      <alignment horizontal="right" vertical="center"/>
    </xf>
    <xf numFmtId="0" fontId="0" fillId="0" borderId="0" xfId="0" applyAlignment="1">
      <alignment horizontal="center" vertical="center"/>
    </xf>
    <xf numFmtId="0" fontId="0" fillId="0" borderId="0" xfId="0" applyAlignment="1" applyProtection="1">
      <alignment horizontal="left" vertical="center" indent="1"/>
      <protection locked="0"/>
    </xf>
    <xf numFmtId="0" fontId="2" fillId="3" borderId="10" xfId="0" applyFont="1" applyFill="1" applyBorder="1" applyAlignment="1">
      <alignment horizontal="left" vertical="center"/>
    </xf>
    <xf numFmtId="0" fontId="2" fillId="2" borderId="10" xfId="0" applyFont="1" applyFill="1" applyBorder="1" applyAlignment="1">
      <alignment horizontal="left" vertical="center"/>
    </xf>
    <xf numFmtId="0" fontId="1" fillId="2" borderId="11" xfId="0" applyFont="1" applyFill="1" applyBorder="1" applyAlignment="1" applyProtection="1">
      <alignment horizontal="left" vertical="center"/>
      <protection locked="0"/>
    </xf>
    <xf numFmtId="0" fontId="1" fillId="2" borderId="10" xfId="0" applyFont="1" applyFill="1" applyBorder="1" applyAlignment="1" applyProtection="1">
      <alignment horizontal="left" vertical="center"/>
      <protection locked="0"/>
    </xf>
    <xf numFmtId="0" fontId="1" fillId="2" borderId="12"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0"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2" fillId="2" borderId="8" xfId="0" applyFont="1" applyFill="1" applyBorder="1" applyAlignment="1">
      <alignment horizontal="center"/>
    </xf>
    <xf numFmtId="0" fontId="2" fillId="0" borderId="10" xfId="0" applyFont="1" applyBorder="1" applyAlignment="1">
      <alignment horizontal="center" vertical="center"/>
    </xf>
    <xf numFmtId="0" fontId="1" fillId="2" borderId="11" xfId="0" applyFont="1" applyFill="1" applyBorder="1" applyAlignment="1">
      <alignment horizontal="left" vertical="center"/>
    </xf>
    <xf numFmtId="0" fontId="0" fillId="2" borderId="10" xfId="0" applyFill="1" applyBorder="1" applyAlignment="1">
      <alignment horizontal="left" vertical="center"/>
    </xf>
    <xf numFmtId="0" fontId="0" fillId="0" borderId="8" xfId="0" applyBorder="1" applyAlignment="1">
      <alignment horizontal="center"/>
    </xf>
    <xf numFmtId="0" fontId="24" fillId="0" borderId="0" xfId="0" applyFont="1" applyAlignment="1">
      <alignment horizontal="right" vertical="center"/>
    </xf>
    <xf numFmtId="0" fontId="25" fillId="0" borderId="0" xfId="0" applyFont="1" applyAlignment="1">
      <alignment horizontal="right" vertical="center"/>
    </xf>
    <xf numFmtId="0" fontId="2" fillId="0" borderId="0" xfId="0" applyFont="1" applyAlignment="1">
      <alignment horizontal="left" vertical="center" wrapText="1"/>
    </xf>
    <xf numFmtId="0" fontId="0" fillId="0" borderId="0" xfId="0"/>
    <xf numFmtId="0" fontId="30" fillId="4" borderId="7" xfId="0" applyFont="1" applyFill="1" applyBorder="1" applyAlignment="1">
      <alignment horizontal="right" vertical="center"/>
    </xf>
    <xf numFmtId="0" fontId="30" fillId="4" borderId="8" xfId="0" applyFont="1" applyFill="1" applyBorder="1" applyAlignment="1">
      <alignment horizontal="right" vertical="center"/>
    </xf>
    <xf numFmtId="0" fontId="2" fillId="3" borderId="10" xfId="0" applyFont="1" applyFill="1" applyBorder="1" applyAlignment="1">
      <alignment horizontal="left" vertical="center" wrapText="1"/>
    </xf>
    <xf numFmtId="0" fontId="0" fillId="0" borderId="3"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9" fillId="0" borderId="2" xfId="0" applyFont="1" applyBorder="1" applyAlignment="1">
      <alignment horizontal="left"/>
    </xf>
    <xf numFmtId="0" fontId="9" fillId="0" borderId="8" xfId="0" applyFont="1" applyBorder="1" applyAlignment="1">
      <alignment horizontal="left"/>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21" fillId="0" borderId="0" xfId="0" applyFont="1" applyAlignment="1">
      <alignment horizontal="left" vertical="center" wrapText="1"/>
    </xf>
    <xf numFmtId="0" fontId="26" fillId="0" borderId="0" xfId="0" applyFont="1" applyAlignment="1">
      <alignment horizontal="left" vertical="center" wrapText="1"/>
    </xf>
    <xf numFmtId="0" fontId="27" fillId="4" borderId="1" xfId="0" applyFont="1" applyFill="1" applyBorder="1" applyAlignment="1">
      <alignment horizontal="center" vertical="center"/>
    </xf>
    <xf numFmtId="0" fontId="9" fillId="0" borderId="8" xfId="0" applyFont="1" applyBorder="1" applyAlignment="1" applyProtection="1">
      <alignment horizontal="center"/>
      <protection locked="0"/>
    </xf>
    <xf numFmtId="0" fontId="0" fillId="0" borderId="1" xfId="0" applyBorder="1" applyAlignment="1" applyProtection="1">
      <alignment horizontal="center"/>
      <protection locked="0"/>
    </xf>
    <xf numFmtId="14" fontId="33" fillId="0" borderId="0" xfId="0" applyNumberFormat="1" applyFont="1" applyAlignment="1" applyProtection="1">
      <alignment horizontal="right"/>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48986</xdr:rowOff>
    </xdr:from>
    <xdr:to>
      <xdr:col>0</xdr:col>
      <xdr:colOff>776968</xdr:colOff>
      <xdr:row>3</xdr:row>
      <xdr:rowOff>160804</xdr:rowOff>
    </xdr:to>
    <xdr:pic>
      <xdr:nvPicPr>
        <xdr:cNvPr id="4" name="Picture 3">
          <a:extLst>
            <a:ext uri="{FF2B5EF4-FFF2-40B4-BE49-F238E27FC236}">
              <a16:creationId xmlns:a16="http://schemas.microsoft.com/office/drawing/2014/main" id="{E8F1DA8F-E02D-5B17-7BDF-7780C17ED9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48986"/>
          <a:ext cx="691243" cy="666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4" name="Picture 3">
          <a:extLst>
            <a:ext uri="{FF2B5EF4-FFF2-40B4-BE49-F238E27FC236}">
              <a16:creationId xmlns:a16="http://schemas.microsoft.com/office/drawing/2014/main" id="{B043F763-9119-21F5-32FF-5A75DD35FE7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2"/>
  <sheetViews>
    <sheetView tabSelected="1" zoomScale="140" zoomScaleNormal="140" zoomScaleSheetLayoutView="90" workbookViewId="0">
      <selection activeCell="L47" sqref="L47"/>
    </sheetView>
  </sheetViews>
  <sheetFormatPr defaultRowHeight="14.5" x14ac:dyDescent="0.35"/>
  <cols>
    <col min="1" max="1" width="11.7265625" customWidth="1"/>
    <col min="2" max="2" width="9.1796875" customWidth="1"/>
    <col min="4" max="4" width="11.7265625" customWidth="1"/>
    <col min="5" max="5" width="1.26953125" customWidth="1"/>
    <col min="8" max="8" width="9.1796875" customWidth="1"/>
    <col min="9" max="9" width="4.1796875" customWidth="1"/>
    <col min="10" max="10" width="14" customWidth="1"/>
  </cols>
  <sheetData>
    <row r="1" spans="1:10" x14ac:dyDescent="0.35">
      <c r="A1" s="125"/>
      <c r="B1" s="125"/>
      <c r="C1" s="125"/>
      <c r="E1" s="85"/>
      <c r="F1" s="101" t="s">
        <v>96</v>
      </c>
      <c r="G1" s="101"/>
      <c r="H1" s="101"/>
      <c r="I1" s="101"/>
      <c r="J1" s="101"/>
    </row>
    <row r="2" spans="1:10" x14ac:dyDescent="0.35">
      <c r="A2" s="125"/>
      <c r="B2" s="125"/>
      <c r="C2" s="125"/>
      <c r="D2" s="85"/>
      <c r="E2" s="85"/>
      <c r="F2" s="85"/>
      <c r="G2" s="85"/>
      <c r="H2" s="85"/>
      <c r="I2" s="85"/>
      <c r="J2" s="85"/>
    </row>
    <row r="3" spans="1:10" x14ac:dyDescent="0.35">
      <c r="A3" s="125"/>
      <c r="B3" s="125"/>
      <c r="C3" s="125"/>
      <c r="D3" s="85"/>
      <c r="E3" s="85"/>
      <c r="F3" s="85"/>
      <c r="G3" s="85"/>
      <c r="H3" s="85"/>
      <c r="I3" s="85"/>
      <c r="J3" s="85"/>
    </row>
    <row r="4" spans="1:10" x14ac:dyDescent="0.35">
      <c r="A4" s="153"/>
      <c r="B4" s="153"/>
      <c r="C4" s="153"/>
      <c r="D4" s="86"/>
      <c r="E4" s="86"/>
      <c r="F4" s="86"/>
      <c r="G4" s="86"/>
      <c r="H4" s="86"/>
      <c r="I4" s="86"/>
      <c r="J4" s="86"/>
    </row>
    <row r="5" spans="1:10" ht="16" x14ac:dyDescent="0.4">
      <c r="A5" s="135" t="s">
        <v>69</v>
      </c>
      <c r="B5" s="135"/>
      <c r="C5" s="135"/>
      <c r="D5" s="135"/>
      <c r="E5" s="135"/>
      <c r="F5" s="135"/>
      <c r="G5" s="135"/>
      <c r="H5" s="135"/>
      <c r="I5" s="135"/>
      <c r="J5" s="135"/>
    </row>
    <row r="6" spans="1:10" ht="3.75" customHeight="1" x14ac:dyDescent="0.35">
      <c r="A6" s="137"/>
      <c r="B6" s="137"/>
      <c r="C6" s="137"/>
      <c r="D6" s="137"/>
      <c r="E6" s="137"/>
      <c r="F6" s="137"/>
      <c r="G6" s="137"/>
      <c r="H6" s="137"/>
      <c r="I6" s="137"/>
      <c r="J6" s="137"/>
    </row>
    <row r="7" spans="1:10" x14ac:dyDescent="0.35">
      <c r="A7" s="138" t="s">
        <v>1</v>
      </c>
      <c r="B7" s="138"/>
      <c r="C7" s="140" t="s">
        <v>97</v>
      </c>
      <c r="D7" s="140"/>
      <c r="E7" s="140"/>
      <c r="F7" s="140"/>
      <c r="G7" s="1" t="s">
        <v>11</v>
      </c>
      <c r="H7" s="140" t="s">
        <v>98</v>
      </c>
      <c r="I7" s="140"/>
      <c r="J7" s="140"/>
    </row>
    <row r="8" spans="1:10" ht="3.75" customHeight="1" x14ac:dyDescent="0.35">
      <c r="A8" s="139"/>
      <c r="B8" s="139"/>
      <c r="C8" s="139"/>
      <c r="D8" s="139"/>
      <c r="E8" s="139"/>
      <c r="F8" s="139"/>
      <c r="G8" s="139"/>
      <c r="H8" s="139"/>
      <c r="I8" s="139"/>
      <c r="J8" s="139"/>
    </row>
    <row r="9" spans="1:10" x14ac:dyDescent="0.35">
      <c r="A9" s="136" t="s">
        <v>0</v>
      </c>
      <c r="B9" s="136"/>
      <c r="C9" s="140" t="s">
        <v>99</v>
      </c>
      <c r="D9" s="140"/>
      <c r="E9" s="140"/>
      <c r="F9" s="140"/>
      <c r="G9" s="140"/>
      <c r="H9" s="140"/>
      <c r="I9" s="140"/>
      <c r="J9" s="140"/>
    </row>
    <row r="10" spans="1:10" ht="3.75" customHeight="1" x14ac:dyDescent="0.35">
      <c r="A10" s="125"/>
      <c r="B10" s="125"/>
      <c r="C10" s="125"/>
      <c r="D10" s="125"/>
      <c r="E10" s="125"/>
      <c r="F10" s="125"/>
      <c r="G10" s="125"/>
      <c r="H10" s="125"/>
      <c r="I10" s="125"/>
      <c r="J10" s="125"/>
    </row>
    <row r="11" spans="1:10" ht="11.25" customHeight="1" x14ac:dyDescent="0.35">
      <c r="A11" s="63"/>
      <c r="B11" s="64"/>
      <c r="C11" s="64"/>
      <c r="D11" s="126" t="s">
        <v>31</v>
      </c>
      <c r="E11" s="126"/>
      <c r="F11" s="126"/>
      <c r="G11" s="126"/>
      <c r="H11" s="64"/>
      <c r="I11" s="64"/>
      <c r="J11" s="65"/>
    </row>
    <row r="12" spans="1:10" ht="11.25" customHeight="1" x14ac:dyDescent="0.35">
      <c r="A12" s="127" t="s">
        <v>70</v>
      </c>
      <c r="B12" s="128"/>
      <c r="C12" s="129" t="s">
        <v>78</v>
      </c>
      <c r="D12" s="129"/>
      <c r="E12" s="66"/>
      <c r="F12" s="132" t="s">
        <v>32</v>
      </c>
      <c r="G12" s="132"/>
      <c r="H12" s="132"/>
      <c r="I12" s="132"/>
      <c r="J12" s="133"/>
    </row>
    <row r="13" spans="1:10" ht="11.25" customHeight="1" x14ac:dyDescent="0.35">
      <c r="A13" s="120" t="s">
        <v>2</v>
      </c>
      <c r="B13" s="121"/>
      <c r="C13" s="131" t="s">
        <v>79</v>
      </c>
      <c r="D13" s="131"/>
      <c r="E13" s="69"/>
      <c r="F13" s="114" t="s">
        <v>84</v>
      </c>
      <c r="G13" s="114"/>
      <c r="H13" s="114"/>
      <c r="I13" s="114"/>
      <c r="J13" s="115"/>
    </row>
    <row r="14" spans="1:10" ht="11.25" customHeight="1" x14ac:dyDescent="0.35">
      <c r="A14" s="120" t="s">
        <v>3</v>
      </c>
      <c r="B14" s="121"/>
      <c r="C14" s="131" t="s">
        <v>80</v>
      </c>
      <c r="D14" s="131"/>
      <c r="E14" s="69"/>
      <c r="F14" s="114" t="s">
        <v>85</v>
      </c>
      <c r="G14" s="114"/>
      <c r="H14" s="114"/>
      <c r="I14" s="114"/>
      <c r="J14" s="115"/>
    </row>
    <row r="15" spans="1:10" ht="11.25" customHeight="1" x14ac:dyDescent="0.35">
      <c r="A15" s="120" t="s">
        <v>4</v>
      </c>
      <c r="B15" s="121"/>
      <c r="C15" s="131" t="s">
        <v>81</v>
      </c>
      <c r="D15" s="131"/>
      <c r="E15" s="69"/>
      <c r="F15" s="114" t="s">
        <v>33</v>
      </c>
      <c r="G15" s="114"/>
      <c r="H15" s="114"/>
      <c r="I15" s="114"/>
      <c r="J15" s="115"/>
    </row>
    <row r="16" spans="1:10" ht="11.25" customHeight="1" x14ac:dyDescent="0.35">
      <c r="A16" s="67"/>
      <c r="B16" s="68" t="s">
        <v>34</v>
      </c>
      <c r="C16" s="131" t="s">
        <v>82</v>
      </c>
      <c r="D16" s="131"/>
      <c r="E16" s="69"/>
      <c r="F16" s="114" t="s">
        <v>36</v>
      </c>
      <c r="G16" s="114"/>
      <c r="H16" s="114"/>
      <c r="I16" s="114"/>
      <c r="J16" s="115"/>
    </row>
    <row r="17" spans="1:10" ht="11.25" customHeight="1" x14ac:dyDescent="0.35">
      <c r="A17" s="120" t="s">
        <v>35</v>
      </c>
      <c r="B17" s="121"/>
      <c r="C17" s="131" t="s">
        <v>83</v>
      </c>
      <c r="D17" s="131"/>
      <c r="E17" s="69"/>
      <c r="F17" s="114" t="s">
        <v>37</v>
      </c>
      <c r="G17" s="114"/>
      <c r="H17" s="114"/>
      <c r="I17" s="114"/>
      <c r="J17" s="115"/>
    </row>
    <row r="18" spans="1:10" ht="11.25" customHeight="1" x14ac:dyDescent="0.35">
      <c r="A18" s="116" t="s">
        <v>5</v>
      </c>
      <c r="B18" s="117"/>
      <c r="C18" s="149" t="s">
        <v>9</v>
      </c>
      <c r="D18" s="149"/>
      <c r="E18" s="47"/>
      <c r="F18" s="118" t="s">
        <v>10</v>
      </c>
      <c r="G18" s="118"/>
      <c r="H18" s="118"/>
      <c r="I18" s="118"/>
      <c r="J18" s="119"/>
    </row>
    <row r="19" spans="1:10" ht="3.65" customHeight="1" x14ac:dyDescent="0.35">
      <c r="A19" s="134"/>
      <c r="B19" s="134"/>
      <c r="C19" s="134"/>
      <c r="D19" s="134"/>
      <c r="E19" s="134"/>
      <c r="F19" s="134"/>
      <c r="G19" s="134"/>
      <c r="H19" s="134"/>
      <c r="I19" s="134"/>
      <c r="J19" s="134"/>
    </row>
    <row r="20" spans="1:10" ht="10.9" customHeight="1" x14ac:dyDescent="0.35">
      <c r="A20" s="104" t="s">
        <v>4</v>
      </c>
      <c r="B20" s="105"/>
      <c r="C20" s="56"/>
      <c r="D20" s="56"/>
      <c r="E20" s="56"/>
      <c r="F20" s="56"/>
      <c r="G20" s="56"/>
      <c r="H20" s="56"/>
      <c r="I20" s="56"/>
      <c r="J20" s="57"/>
    </row>
    <row r="21" spans="1:10" x14ac:dyDescent="0.35">
      <c r="A21" s="77" t="s">
        <v>100</v>
      </c>
      <c r="B21" s="76" t="s">
        <v>7</v>
      </c>
      <c r="C21" s="143" t="s">
        <v>94</v>
      </c>
      <c r="D21" s="144"/>
      <c r="E21" s="145"/>
      <c r="F21" s="48">
        <v>1.5</v>
      </c>
      <c r="G21" s="70" t="s">
        <v>8</v>
      </c>
      <c r="H21" s="71">
        <v>181</v>
      </c>
      <c r="I21" s="70" t="s">
        <v>12</v>
      </c>
      <c r="J21" s="49">
        <f>SUM(H21*F21)</f>
        <v>271.5</v>
      </c>
    </row>
    <row r="22" spans="1:10" x14ac:dyDescent="0.35">
      <c r="A22" s="78"/>
      <c r="B22" s="26" t="s">
        <v>6</v>
      </c>
      <c r="C22" s="146" t="str">
        <f>H7</f>
        <v>New Lenox, IL</v>
      </c>
      <c r="D22" s="147"/>
      <c r="E22" s="148"/>
      <c r="F22" s="50"/>
      <c r="G22" s="27" t="s">
        <v>8</v>
      </c>
      <c r="H22" s="72">
        <v>272</v>
      </c>
      <c r="I22" s="27" t="s">
        <v>12</v>
      </c>
      <c r="J22" s="51">
        <f t="shared" ref="J22" si="0">SUM(H22*F22)</f>
        <v>0</v>
      </c>
    </row>
    <row r="23" spans="1:10" x14ac:dyDescent="0.35">
      <c r="A23" s="77" t="s">
        <v>100</v>
      </c>
      <c r="B23" s="76" t="s">
        <v>7</v>
      </c>
      <c r="C23" s="143" t="str">
        <f>C22</f>
        <v>New Lenox, IL</v>
      </c>
      <c r="D23" s="144"/>
      <c r="E23" s="145"/>
      <c r="F23" s="48">
        <v>1.5</v>
      </c>
      <c r="G23" s="70" t="s">
        <v>8</v>
      </c>
      <c r="H23" s="71">
        <v>181</v>
      </c>
      <c r="I23" s="70" t="s">
        <v>12</v>
      </c>
      <c r="J23" s="49">
        <f>SUM(H23*F23)</f>
        <v>271.5</v>
      </c>
    </row>
    <row r="24" spans="1:10" x14ac:dyDescent="0.35">
      <c r="A24" s="79"/>
      <c r="B24" s="26" t="s">
        <v>6</v>
      </c>
      <c r="C24" s="146" t="s">
        <v>94</v>
      </c>
      <c r="D24" s="147"/>
      <c r="E24" s="148"/>
      <c r="F24" s="50"/>
      <c r="G24" s="27" t="s">
        <v>8</v>
      </c>
      <c r="H24" s="72">
        <v>272</v>
      </c>
      <c r="I24" s="27" t="s">
        <v>12</v>
      </c>
      <c r="J24" s="51">
        <f>SUM(H24*F24)</f>
        <v>0</v>
      </c>
    </row>
    <row r="25" spans="1:10" ht="10.9" customHeight="1" x14ac:dyDescent="0.35">
      <c r="A25" s="29"/>
      <c r="B25" s="30"/>
      <c r="C25" s="35"/>
      <c r="D25" s="30" t="s">
        <v>29</v>
      </c>
      <c r="E25" s="30"/>
      <c r="F25" s="31">
        <f>SUM(F21:F24)</f>
        <v>3</v>
      </c>
      <c r="G25" s="130" t="s">
        <v>13</v>
      </c>
      <c r="H25" s="130"/>
      <c r="I25" s="32" t="s">
        <v>12</v>
      </c>
      <c r="J25" s="33">
        <f>SUM(J21:J24)</f>
        <v>543</v>
      </c>
    </row>
    <row r="26" spans="1:10" ht="3.65" customHeight="1" x14ac:dyDescent="0.35">
      <c r="A26" s="150"/>
      <c r="B26" s="150"/>
      <c r="C26" s="150"/>
      <c r="D26" s="150"/>
      <c r="E26" s="150"/>
      <c r="F26" s="150"/>
      <c r="G26" s="150"/>
      <c r="H26" s="150"/>
      <c r="I26" s="150"/>
      <c r="J26" s="150"/>
    </row>
    <row r="27" spans="1:10" ht="10.9" customHeight="1" x14ac:dyDescent="0.35">
      <c r="A27" s="58" t="s">
        <v>14</v>
      </c>
      <c r="B27" s="56"/>
      <c r="C27" s="56"/>
      <c r="D27" s="56"/>
      <c r="E27" s="56"/>
      <c r="F27" s="56"/>
      <c r="G27" s="56"/>
      <c r="H27" s="56"/>
      <c r="I27" s="56"/>
      <c r="J27" s="57"/>
    </row>
    <row r="28" spans="1:10" x14ac:dyDescent="0.35">
      <c r="A28" s="80" t="s">
        <v>100</v>
      </c>
      <c r="B28" s="142" t="s">
        <v>15</v>
      </c>
      <c r="C28" s="142"/>
      <c r="D28" s="36" t="s">
        <v>24</v>
      </c>
      <c r="E28" s="39"/>
      <c r="F28" s="40"/>
      <c r="G28" s="36" t="s">
        <v>8</v>
      </c>
      <c r="H28" s="73">
        <v>416</v>
      </c>
      <c r="I28" s="36" t="s">
        <v>12</v>
      </c>
      <c r="J28" s="41">
        <f>H28*F28</f>
        <v>0</v>
      </c>
    </row>
    <row r="29" spans="1:10" x14ac:dyDescent="0.35">
      <c r="A29" s="81" t="s">
        <v>100</v>
      </c>
      <c r="B29" s="141" t="s">
        <v>21</v>
      </c>
      <c r="C29" s="141"/>
      <c r="D29" s="28" t="s">
        <v>22</v>
      </c>
      <c r="E29" s="42"/>
      <c r="F29" s="43">
        <v>8</v>
      </c>
      <c r="G29" s="28" t="s">
        <v>8</v>
      </c>
      <c r="H29" s="74">
        <v>208</v>
      </c>
      <c r="I29" s="28" t="s">
        <v>12</v>
      </c>
      <c r="J29" s="44">
        <f t="shared" ref="J29:J39" si="1">H29*F29</f>
        <v>1664</v>
      </c>
    </row>
    <row r="30" spans="1:10" x14ac:dyDescent="0.35">
      <c r="A30" s="82"/>
      <c r="B30" s="142"/>
      <c r="C30" s="142"/>
      <c r="D30" s="36" t="s">
        <v>23</v>
      </c>
      <c r="E30" s="39"/>
      <c r="F30" s="40">
        <v>2</v>
      </c>
      <c r="G30" s="36" t="s">
        <v>8</v>
      </c>
      <c r="H30" s="73">
        <v>312</v>
      </c>
      <c r="I30" s="36" t="s">
        <v>12</v>
      </c>
      <c r="J30" s="41">
        <f t="shared" si="1"/>
        <v>624</v>
      </c>
    </row>
    <row r="31" spans="1:10" x14ac:dyDescent="0.35">
      <c r="A31" s="81" t="s">
        <v>100</v>
      </c>
      <c r="B31" s="141" t="s">
        <v>16</v>
      </c>
      <c r="C31" s="141"/>
      <c r="D31" s="28" t="s">
        <v>22</v>
      </c>
      <c r="E31" s="42"/>
      <c r="F31" s="43">
        <v>8</v>
      </c>
      <c r="G31" s="28" t="s">
        <v>8</v>
      </c>
      <c r="H31" s="74">
        <v>208</v>
      </c>
      <c r="I31" s="28" t="s">
        <v>12</v>
      </c>
      <c r="J31" s="44">
        <v>0</v>
      </c>
    </row>
    <row r="32" spans="1:10" x14ac:dyDescent="0.35">
      <c r="A32" s="82"/>
      <c r="B32" s="142"/>
      <c r="C32" s="142"/>
      <c r="D32" s="36" t="s">
        <v>23</v>
      </c>
      <c r="E32" s="39"/>
      <c r="F32" s="40">
        <v>2</v>
      </c>
      <c r="G32" s="36" t="s">
        <v>8</v>
      </c>
      <c r="H32" s="73">
        <v>312</v>
      </c>
      <c r="I32" s="36" t="s">
        <v>12</v>
      </c>
      <c r="J32" s="41">
        <f t="shared" si="1"/>
        <v>624</v>
      </c>
    </row>
    <row r="33" spans="1:10" x14ac:dyDescent="0.35">
      <c r="A33" s="83" t="s">
        <v>100</v>
      </c>
      <c r="B33" s="160" t="s">
        <v>17</v>
      </c>
      <c r="C33" s="160"/>
      <c r="D33" s="75" t="s">
        <v>22</v>
      </c>
      <c r="E33" s="45"/>
      <c r="F33" s="46">
        <v>8</v>
      </c>
      <c r="G33" s="75" t="s">
        <v>8</v>
      </c>
      <c r="H33" s="74">
        <v>208</v>
      </c>
      <c r="I33" s="75" t="s">
        <v>12</v>
      </c>
      <c r="J33" s="44">
        <f t="shared" si="1"/>
        <v>1664</v>
      </c>
    </row>
    <row r="34" spans="1:10" x14ac:dyDescent="0.35">
      <c r="A34" s="82"/>
      <c r="B34" s="142"/>
      <c r="C34" s="142"/>
      <c r="D34" s="36" t="s">
        <v>23</v>
      </c>
      <c r="E34" s="39"/>
      <c r="F34" s="40">
        <v>2</v>
      </c>
      <c r="G34" s="36" t="s">
        <v>8</v>
      </c>
      <c r="H34" s="73">
        <v>312</v>
      </c>
      <c r="I34" s="36" t="s">
        <v>12</v>
      </c>
      <c r="J34" s="41">
        <f t="shared" si="1"/>
        <v>624</v>
      </c>
    </row>
    <row r="35" spans="1:10" x14ac:dyDescent="0.35">
      <c r="A35" s="81" t="s">
        <v>100</v>
      </c>
      <c r="B35" s="141" t="s">
        <v>18</v>
      </c>
      <c r="C35" s="141"/>
      <c r="D35" s="28" t="s">
        <v>22</v>
      </c>
      <c r="E35" s="42"/>
      <c r="F35" s="43"/>
      <c r="G35" s="28" t="s">
        <v>8</v>
      </c>
      <c r="H35" s="74">
        <v>208</v>
      </c>
      <c r="I35" s="28" t="s">
        <v>12</v>
      </c>
      <c r="J35" s="44">
        <f t="shared" si="1"/>
        <v>0</v>
      </c>
    </row>
    <row r="36" spans="1:10" x14ac:dyDescent="0.35">
      <c r="A36" s="82"/>
      <c r="B36" s="142"/>
      <c r="C36" s="142"/>
      <c r="D36" s="36" t="s">
        <v>23</v>
      </c>
      <c r="E36" s="39"/>
      <c r="F36" s="40"/>
      <c r="G36" s="36" t="s">
        <v>8</v>
      </c>
      <c r="H36" s="73">
        <v>312</v>
      </c>
      <c r="I36" s="36" t="s">
        <v>12</v>
      </c>
      <c r="J36" s="41">
        <f t="shared" si="1"/>
        <v>0</v>
      </c>
    </row>
    <row r="37" spans="1:10" x14ac:dyDescent="0.35">
      <c r="A37" s="81" t="s">
        <v>100</v>
      </c>
      <c r="B37" s="141" t="s">
        <v>19</v>
      </c>
      <c r="C37" s="141"/>
      <c r="D37" s="28" t="s">
        <v>22</v>
      </c>
      <c r="E37" s="42"/>
      <c r="F37" s="43"/>
      <c r="G37" s="28" t="s">
        <v>8</v>
      </c>
      <c r="H37" s="74">
        <v>208</v>
      </c>
      <c r="I37" s="28" t="s">
        <v>12</v>
      </c>
      <c r="J37" s="44">
        <f t="shared" si="1"/>
        <v>0</v>
      </c>
    </row>
    <row r="38" spans="1:10" x14ac:dyDescent="0.35">
      <c r="A38" s="82"/>
      <c r="B38" s="142"/>
      <c r="C38" s="142"/>
      <c r="D38" s="36" t="s">
        <v>23</v>
      </c>
      <c r="E38" s="39"/>
      <c r="F38" s="40"/>
      <c r="G38" s="36" t="s">
        <v>8</v>
      </c>
      <c r="H38" s="73">
        <v>312</v>
      </c>
      <c r="I38" s="36" t="s">
        <v>12</v>
      </c>
      <c r="J38" s="41">
        <f t="shared" si="1"/>
        <v>0</v>
      </c>
    </row>
    <row r="39" spans="1:10" x14ac:dyDescent="0.35">
      <c r="A39" s="81" t="s">
        <v>100</v>
      </c>
      <c r="B39" s="141" t="s">
        <v>20</v>
      </c>
      <c r="C39" s="141"/>
      <c r="D39" s="28" t="s">
        <v>23</v>
      </c>
      <c r="E39" s="42"/>
      <c r="F39" s="43"/>
      <c r="G39" s="28" t="s">
        <v>8</v>
      </c>
      <c r="H39" s="74">
        <v>416</v>
      </c>
      <c r="I39" s="28" t="s">
        <v>12</v>
      </c>
      <c r="J39" s="44">
        <f t="shared" si="1"/>
        <v>0</v>
      </c>
    </row>
    <row r="40" spans="1:10" ht="10.9" customHeight="1" x14ac:dyDescent="0.35">
      <c r="A40" s="34"/>
      <c r="B40" s="35"/>
      <c r="C40" s="35"/>
      <c r="D40" s="30" t="s">
        <v>29</v>
      </c>
      <c r="E40" s="35"/>
      <c r="F40" s="31">
        <f>SUM(F28:F39)</f>
        <v>30</v>
      </c>
      <c r="G40" s="130" t="s">
        <v>25</v>
      </c>
      <c r="H40" s="130"/>
      <c r="I40" s="36" t="s">
        <v>12</v>
      </c>
      <c r="J40" s="37">
        <f>SUM(J28:J39)</f>
        <v>5200</v>
      </c>
    </row>
    <row r="41" spans="1:10" ht="3.65" customHeight="1" x14ac:dyDescent="0.35">
      <c r="A41" s="123"/>
      <c r="B41" s="123"/>
      <c r="C41" s="123"/>
      <c r="D41" s="123"/>
      <c r="E41" s="123"/>
      <c r="F41" s="123"/>
      <c r="G41" s="123"/>
      <c r="H41" s="123"/>
      <c r="I41" s="123"/>
      <c r="J41" s="123"/>
    </row>
    <row r="42" spans="1:10" ht="10.9" customHeight="1" x14ac:dyDescent="0.35">
      <c r="A42" s="104" t="s">
        <v>65</v>
      </c>
      <c r="B42" s="105"/>
      <c r="C42" s="105"/>
      <c r="D42" s="105"/>
      <c r="E42" s="105"/>
      <c r="F42" s="105"/>
      <c r="G42" s="105"/>
      <c r="H42" s="105"/>
      <c r="I42" s="105"/>
      <c r="J42" s="106"/>
    </row>
    <row r="43" spans="1:10" ht="10.9" customHeight="1" x14ac:dyDescent="0.35">
      <c r="A43" s="107"/>
      <c r="B43" s="108"/>
      <c r="C43" s="108"/>
      <c r="D43" s="36" t="s">
        <v>22</v>
      </c>
      <c r="E43" s="52"/>
      <c r="F43" s="40">
        <v>4</v>
      </c>
      <c r="G43" s="36" t="s">
        <v>8</v>
      </c>
      <c r="H43" s="73">
        <v>208</v>
      </c>
      <c r="I43" s="36" t="s">
        <v>12</v>
      </c>
      <c r="J43" s="37">
        <f>SUM(H43*F43)</f>
        <v>832</v>
      </c>
    </row>
    <row r="44" spans="1:10" ht="3.65" customHeight="1" x14ac:dyDescent="0.35">
      <c r="A44" s="111"/>
      <c r="B44" s="112"/>
      <c r="C44" s="112"/>
      <c r="D44" s="112"/>
      <c r="E44" s="112"/>
      <c r="F44" s="112"/>
      <c r="G44" s="112"/>
      <c r="H44" s="112"/>
      <c r="I44" s="112"/>
      <c r="J44" s="113"/>
    </row>
    <row r="45" spans="1:10" ht="10.9" customHeight="1" x14ac:dyDescent="0.35">
      <c r="A45" s="58" t="s">
        <v>5</v>
      </c>
      <c r="B45" s="59"/>
      <c r="C45" s="59"/>
      <c r="D45" s="59"/>
      <c r="E45" s="59"/>
      <c r="F45" s="59"/>
      <c r="G45" s="59"/>
      <c r="H45" s="59"/>
      <c r="I45" s="59"/>
      <c r="J45" s="60"/>
    </row>
    <row r="46" spans="1:10" ht="10.9" customHeight="1" x14ac:dyDescent="0.35">
      <c r="A46" s="151" t="s">
        <v>27</v>
      </c>
      <c r="B46" s="152"/>
      <c r="C46" s="152"/>
      <c r="D46" s="152"/>
      <c r="E46" s="152"/>
      <c r="F46" s="152"/>
      <c r="G46" s="130" t="s">
        <v>26</v>
      </c>
      <c r="H46" s="130"/>
      <c r="I46" s="36" t="s">
        <v>12</v>
      </c>
      <c r="J46" s="38">
        <v>300</v>
      </c>
    </row>
    <row r="47" spans="1:10" ht="3.65" customHeight="1" x14ac:dyDescent="0.35">
      <c r="A47" s="122"/>
      <c r="B47" s="123"/>
      <c r="C47" s="123"/>
      <c r="D47" s="123"/>
      <c r="E47" s="123"/>
      <c r="F47" s="123"/>
      <c r="G47" s="123"/>
      <c r="H47" s="123"/>
      <c r="I47" s="123"/>
      <c r="J47" s="124"/>
    </row>
    <row r="48" spans="1:10" x14ac:dyDescent="0.35">
      <c r="A48" s="156" t="s">
        <v>30</v>
      </c>
      <c r="B48" s="157"/>
      <c r="C48" s="157"/>
      <c r="D48" s="157"/>
      <c r="E48" s="125"/>
      <c r="F48" s="158" t="s">
        <v>13</v>
      </c>
      <c r="G48" s="159"/>
      <c r="H48" s="159"/>
      <c r="I48" s="61" t="s">
        <v>12</v>
      </c>
      <c r="J48" s="37">
        <f>SUM(J25)</f>
        <v>543</v>
      </c>
    </row>
    <row r="49" spans="1:10" ht="14.5" customHeight="1" x14ac:dyDescent="0.35">
      <c r="A49" s="99" t="s">
        <v>72</v>
      </c>
      <c r="B49" s="99"/>
      <c r="C49" s="99"/>
      <c r="D49" s="99"/>
      <c r="E49" s="125"/>
      <c r="F49" s="109" t="s">
        <v>25</v>
      </c>
      <c r="G49" s="110"/>
      <c r="H49" s="110"/>
      <c r="I49" s="62" t="s">
        <v>12</v>
      </c>
      <c r="J49" s="53">
        <f>SUM(J40)</f>
        <v>5200</v>
      </c>
    </row>
    <row r="50" spans="1:10" x14ac:dyDescent="0.35">
      <c r="A50" s="99"/>
      <c r="B50" s="99"/>
      <c r="C50" s="99"/>
      <c r="D50" s="99"/>
      <c r="E50" s="125"/>
      <c r="F50" s="109" t="s">
        <v>26</v>
      </c>
      <c r="G50" s="110"/>
      <c r="H50" s="110"/>
      <c r="I50" s="62" t="s">
        <v>12</v>
      </c>
      <c r="J50" s="53">
        <f>SUM(J46)</f>
        <v>300</v>
      </c>
    </row>
    <row r="51" spans="1:10" x14ac:dyDescent="0.35">
      <c r="A51" s="99"/>
      <c r="B51" s="99"/>
      <c r="C51" s="99"/>
      <c r="D51" s="99"/>
      <c r="E51" s="125"/>
      <c r="F51" s="109" t="s">
        <v>66</v>
      </c>
      <c r="G51" s="110"/>
      <c r="H51" s="110"/>
      <c r="I51" s="62" t="s">
        <v>12</v>
      </c>
      <c r="J51" s="53">
        <f>SUM(J43)</f>
        <v>832</v>
      </c>
    </row>
    <row r="52" spans="1:10" x14ac:dyDescent="0.35">
      <c r="A52" s="99"/>
      <c r="B52" s="99"/>
      <c r="C52" s="99"/>
      <c r="D52" s="99"/>
      <c r="E52" s="125"/>
      <c r="F52" s="109" t="s">
        <v>71</v>
      </c>
      <c r="G52" s="110"/>
      <c r="H52" s="110"/>
      <c r="I52" s="62" t="s">
        <v>12</v>
      </c>
      <c r="J52" s="53">
        <v>0</v>
      </c>
    </row>
    <row r="53" spans="1:10" ht="15" customHeight="1" x14ac:dyDescent="0.35">
      <c r="A53" s="99"/>
      <c r="B53" s="99"/>
      <c r="C53" s="99"/>
      <c r="D53" s="99"/>
      <c r="E53" s="125"/>
      <c r="F53" s="109" t="s">
        <v>73</v>
      </c>
      <c r="G53" s="110"/>
      <c r="H53" s="110"/>
      <c r="I53" s="62" t="s">
        <v>12</v>
      </c>
      <c r="J53" s="53">
        <v>0</v>
      </c>
    </row>
    <row r="54" spans="1:10" ht="15" customHeight="1" x14ac:dyDescent="0.35">
      <c r="A54" s="99"/>
      <c r="B54" s="99"/>
      <c r="C54" s="99"/>
      <c r="D54" s="99"/>
      <c r="E54" s="125"/>
      <c r="G54" s="102" t="s">
        <v>28</v>
      </c>
      <c r="H54" s="103"/>
      <c r="I54" s="54" t="s">
        <v>12</v>
      </c>
      <c r="J54" s="55">
        <f>SUM(I48:J53)</f>
        <v>6875</v>
      </c>
    </row>
    <row r="55" spans="1:10" x14ac:dyDescent="0.35">
      <c r="A55" s="84"/>
      <c r="B55" s="84"/>
      <c r="C55" s="84"/>
      <c r="D55" s="84"/>
      <c r="E55" s="16"/>
      <c r="F55" s="154" t="s">
        <v>67</v>
      </c>
      <c r="G55" s="155"/>
      <c r="H55" s="155"/>
      <c r="I55" s="155"/>
      <c r="J55" s="177">
        <v>46079</v>
      </c>
    </row>
    <row r="56" spans="1:10" x14ac:dyDescent="0.35">
      <c r="A56" s="100" t="s">
        <v>93</v>
      </c>
      <c r="B56" s="100"/>
      <c r="C56" s="100"/>
      <c r="D56" s="100"/>
      <c r="E56" s="100"/>
      <c r="F56" s="100"/>
      <c r="G56" s="100"/>
      <c r="H56" s="100"/>
      <c r="I56" s="100"/>
      <c r="J56" s="100"/>
    </row>
    <row r="57" spans="1:10" x14ac:dyDescent="0.35">
      <c r="A57" s="100"/>
      <c r="B57" s="100"/>
      <c r="C57" s="100"/>
      <c r="D57" s="100"/>
      <c r="E57" s="100"/>
      <c r="F57" s="100"/>
      <c r="G57" s="100"/>
      <c r="H57" s="100"/>
      <c r="I57" s="100"/>
      <c r="J57" s="100"/>
    </row>
    <row r="58" spans="1:10" x14ac:dyDescent="0.35">
      <c r="A58" s="100"/>
      <c r="B58" s="100"/>
      <c r="C58" s="100"/>
      <c r="D58" s="100"/>
      <c r="E58" s="100"/>
      <c r="F58" s="100"/>
      <c r="G58" s="100"/>
      <c r="H58" s="100"/>
      <c r="I58" s="100"/>
      <c r="J58" s="100"/>
    </row>
    <row r="59" spans="1:10" x14ac:dyDescent="0.35">
      <c r="A59" s="3"/>
      <c r="B59" s="3"/>
      <c r="C59" s="3"/>
      <c r="D59" s="3"/>
      <c r="E59" s="2"/>
    </row>
    <row r="60" spans="1:10" x14ac:dyDescent="0.35">
      <c r="A60" s="3"/>
      <c r="B60" s="3"/>
      <c r="C60" s="3"/>
      <c r="D60" s="3"/>
      <c r="E60" s="2"/>
    </row>
    <row r="61" spans="1:10" x14ac:dyDescent="0.35">
      <c r="A61" s="3"/>
      <c r="B61" s="3"/>
      <c r="C61" s="3"/>
      <c r="D61" s="3"/>
      <c r="E61" s="2"/>
    </row>
    <row r="62" spans="1:10" x14ac:dyDescent="0.35">
      <c r="A62" s="3"/>
      <c r="B62" s="3"/>
      <c r="C62" s="3"/>
      <c r="D62" s="3"/>
      <c r="E62" s="2"/>
    </row>
  </sheetData>
  <sheetProtection selectLockedCells="1"/>
  <mergeCells count="72">
    <mergeCell ref="F53:H53"/>
    <mergeCell ref="A1:C4"/>
    <mergeCell ref="B28:C28"/>
    <mergeCell ref="E48:E54"/>
    <mergeCell ref="F55:I55"/>
    <mergeCell ref="A48:D48"/>
    <mergeCell ref="F48:H48"/>
    <mergeCell ref="F52:H52"/>
    <mergeCell ref="F50:H50"/>
    <mergeCell ref="F49:H49"/>
    <mergeCell ref="B32:C32"/>
    <mergeCell ref="B33:C33"/>
    <mergeCell ref="B34:C34"/>
    <mergeCell ref="B35:C35"/>
    <mergeCell ref="B36:C36"/>
    <mergeCell ref="G46:H46"/>
    <mergeCell ref="A41:J41"/>
    <mergeCell ref="A46:F46"/>
    <mergeCell ref="B37:C37"/>
    <mergeCell ref="B38:C38"/>
    <mergeCell ref="B39:C39"/>
    <mergeCell ref="G40:H40"/>
    <mergeCell ref="B29:C29"/>
    <mergeCell ref="B30:C30"/>
    <mergeCell ref="B31:C31"/>
    <mergeCell ref="C14:D14"/>
    <mergeCell ref="A15:B15"/>
    <mergeCell ref="C15:D15"/>
    <mergeCell ref="A20:B20"/>
    <mergeCell ref="A17:B17"/>
    <mergeCell ref="C17:D17"/>
    <mergeCell ref="C21:E21"/>
    <mergeCell ref="C22:E22"/>
    <mergeCell ref="C23:E23"/>
    <mergeCell ref="C24:E24"/>
    <mergeCell ref="C16:D16"/>
    <mergeCell ref="C18:D18"/>
    <mergeCell ref="A26:J26"/>
    <mergeCell ref="A5:J5"/>
    <mergeCell ref="A9:B9"/>
    <mergeCell ref="A6:J6"/>
    <mergeCell ref="A7:B7"/>
    <mergeCell ref="A8:J8"/>
    <mergeCell ref="C9:J9"/>
    <mergeCell ref="C7:F7"/>
    <mergeCell ref="H7:J7"/>
    <mergeCell ref="A12:B12"/>
    <mergeCell ref="C12:D12"/>
    <mergeCell ref="G25:H25"/>
    <mergeCell ref="A13:B13"/>
    <mergeCell ref="C13:D13"/>
    <mergeCell ref="F12:J12"/>
    <mergeCell ref="F13:J13"/>
    <mergeCell ref="F14:J14"/>
    <mergeCell ref="F15:J15"/>
    <mergeCell ref="A19:J19"/>
    <mergeCell ref="A49:D54"/>
    <mergeCell ref="A56:J58"/>
    <mergeCell ref="F1:J1"/>
    <mergeCell ref="G54:H54"/>
    <mergeCell ref="A42:J42"/>
    <mergeCell ref="A43:C43"/>
    <mergeCell ref="F51:H51"/>
    <mergeCell ref="A44:J44"/>
    <mergeCell ref="F17:J17"/>
    <mergeCell ref="A18:B18"/>
    <mergeCell ref="F18:J18"/>
    <mergeCell ref="A14:B14"/>
    <mergeCell ref="F16:J16"/>
    <mergeCell ref="A47:J47"/>
    <mergeCell ref="A10:J10"/>
    <mergeCell ref="D11:G11"/>
  </mergeCells>
  <printOptions horizontalCentered="1"/>
  <pageMargins left="0.7" right="0.7" top="0.75" bottom="0.75" header="0.3" footer="0.3"/>
  <pageSetup scale="93" orientation="portrait" r:id="rId1"/>
  <headerFooter>
    <oddFooter>&amp;LSQ_STANDARDRATES_2026_REV1</oddFooter>
  </headerFooter>
  <rowBreaks count="1" manualBreakCount="1">
    <brk id="5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5:D48"/>
  <sheetViews>
    <sheetView zoomScaleNormal="100" workbookViewId="0">
      <selection activeCell="I34" sqref="I34"/>
    </sheetView>
  </sheetViews>
  <sheetFormatPr defaultRowHeight="14.5" x14ac:dyDescent="0.35"/>
  <cols>
    <col min="1" max="1" width="38" customWidth="1"/>
    <col min="2" max="2" width="12" customWidth="1"/>
    <col min="3" max="3" width="8.7265625" customWidth="1"/>
    <col min="4" max="4" width="27.7265625" customWidth="1"/>
  </cols>
  <sheetData>
    <row r="5" spans="1:4" ht="15" x14ac:dyDescent="0.35">
      <c r="A5" s="4" t="s">
        <v>74</v>
      </c>
    </row>
    <row r="6" spans="1:4" ht="15" x14ac:dyDescent="0.35">
      <c r="A6" s="4"/>
    </row>
    <row r="7" spans="1:4" x14ac:dyDescent="0.35">
      <c r="A7" s="5" t="s">
        <v>86</v>
      </c>
    </row>
    <row r="8" spans="1:4" ht="15" thickBot="1" x14ac:dyDescent="0.4">
      <c r="A8" s="5"/>
    </row>
    <row r="9" spans="1:4" x14ac:dyDescent="0.35">
      <c r="A9" s="87"/>
      <c r="B9" s="88"/>
      <c r="C9" s="88"/>
      <c r="D9" s="88"/>
    </row>
    <row r="10" spans="1:4" ht="14.5" customHeight="1" x14ac:dyDescent="0.35">
      <c r="A10" s="89" t="s">
        <v>38</v>
      </c>
      <c r="B10" s="90" t="s">
        <v>39</v>
      </c>
      <c r="C10" s="90" t="s">
        <v>41</v>
      </c>
      <c r="D10" s="90" t="s">
        <v>42</v>
      </c>
    </row>
    <row r="11" spans="1:4" ht="15" thickBot="1" x14ac:dyDescent="0.4">
      <c r="A11" s="91"/>
      <c r="B11" s="92" t="s">
        <v>40</v>
      </c>
      <c r="C11" s="93"/>
      <c r="D11" s="93"/>
    </row>
    <row r="12" spans="1:4" ht="12.65" customHeight="1" x14ac:dyDescent="0.35">
      <c r="A12" s="6"/>
      <c r="B12" s="169" t="s">
        <v>87</v>
      </c>
      <c r="C12" s="169">
        <v>4</v>
      </c>
      <c r="D12" s="9" t="s">
        <v>44</v>
      </c>
    </row>
    <row r="13" spans="1:4" ht="12.65" customHeight="1" x14ac:dyDescent="0.35">
      <c r="A13" s="6" t="s">
        <v>43</v>
      </c>
      <c r="B13" s="170"/>
      <c r="C13" s="170"/>
      <c r="D13" s="21" t="s">
        <v>45</v>
      </c>
    </row>
    <row r="14" spans="1:4" ht="12.65" customHeight="1" thickBot="1" x14ac:dyDescent="0.4">
      <c r="A14" s="7"/>
      <c r="B14" s="171"/>
      <c r="C14" s="171"/>
      <c r="D14" s="10" t="s">
        <v>46</v>
      </c>
    </row>
    <row r="15" spans="1:4" ht="12.65" customHeight="1" x14ac:dyDescent="0.35">
      <c r="A15" s="8"/>
      <c r="B15" s="169" t="s">
        <v>88</v>
      </c>
      <c r="C15" s="169">
        <v>4</v>
      </c>
      <c r="D15" s="9" t="s">
        <v>48</v>
      </c>
    </row>
    <row r="16" spans="1:4" ht="12.65" customHeight="1" x14ac:dyDescent="0.35">
      <c r="A16" s="6" t="s">
        <v>47</v>
      </c>
      <c r="B16" s="170"/>
      <c r="C16" s="170"/>
      <c r="D16" s="9" t="s">
        <v>49</v>
      </c>
    </row>
    <row r="17" spans="1:4" ht="12.65" customHeight="1" thickBot="1" x14ac:dyDescent="0.4">
      <c r="A17" s="7"/>
      <c r="B17" s="171"/>
      <c r="C17" s="171"/>
      <c r="D17" s="10" t="s">
        <v>50</v>
      </c>
    </row>
    <row r="18" spans="1:4" x14ac:dyDescent="0.35">
      <c r="A18" s="94"/>
      <c r="B18" s="90"/>
      <c r="C18" s="90"/>
      <c r="D18" s="90"/>
    </row>
    <row r="19" spans="1:4" ht="12" customHeight="1" x14ac:dyDescent="0.35">
      <c r="A19" s="89" t="s">
        <v>51</v>
      </c>
      <c r="B19" s="90" t="s">
        <v>39</v>
      </c>
      <c r="C19" s="90" t="s">
        <v>41</v>
      </c>
      <c r="D19" s="90" t="s">
        <v>42</v>
      </c>
    </row>
    <row r="20" spans="1:4" ht="16.149999999999999" customHeight="1" thickBot="1" x14ac:dyDescent="0.4">
      <c r="A20" s="95"/>
      <c r="B20" s="92" t="s">
        <v>40</v>
      </c>
      <c r="C20" s="96"/>
      <c r="D20" s="96"/>
    </row>
    <row r="21" spans="1:4" ht="12.65" customHeight="1" x14ac:dyDescent="0.35">
      <c r="A21" s="11"/>
      <c r="B21" s="169" t="s">
        <v>89</v>
      </c>
      <c r="C21" s="169">
        <v>8</v>
      </c>
      <c r="D21" s="9" t="s">
        <v>53</v>
      </c>
    </row>
    <row r="22" spans="1:4" ht="12.65" customHeight="1" x14ac:dyDescent="0.35">
      <c r="A22" s="6" t="s">
        <v>52</v>
      </c>
      <c r="B22" s="170"/>
      <c r="C22" s="170"/>
      <c r="D22" s="9" t="s">
        <v>54</v>
      </c>
    </row>
    <row r="23" spans="1:4" ht="12.65" customHeight="1" thickBot="1" x14ac:dyDescent="0.4">
      <c r="A23" s="12"/>
      <c r="B23" s="171"/>
      <c r="C23" s="171"/>
      <c r="D23" s="10" t="s">
        <v>91</v>
      </c>
    </row>
    <row r="24" spans="1:4" ht="12.65" customHeight="1" x14ac:dyDescent="0.35">
      <c r="A24" s="6"/>
      <c r="B24" s="169" t="s">
        <v>90</v>
      </c>
      <c r="C24" s="169">
        <v>8</v>
      </c>
      <c r="D24" s="9" t="s">
        <v>53</v>
      </c>
    </row>
    <row r="25" spans="1:4" ht="13.15" customHeight="1" x14ac:dyDescent="0.35">
      <c r="A25" s="13" t="s">
        <v>55</v>
      </c>
      <c r="B25" s="170"/>
      <c r="C25" s="170"/>
      <c r="D25" s="9" t="s">
        <v>57</v>
      </c>
    </row>
    <row r="26" spans="1:4" ht="12.65" customHeight="1" thickBot="1" x14ac:dyDescent="0.4">
      <c r="A26" s="12" t="s">
        <v>56</v>
      </c>
      <c r="B26" s="171"/>
      <c r="C26" s="171"/>
      <c r="D26" s="10" t="s">
        <v>92</v>
      </c>
    </row>
    <row r="27" spans="1:4" ht="12.65" customHeight="1" x14ac:dyDescent="0.35">
      <c r="A27" s="23"/>
      <c r="B27" s="24"/>
      <c r="C27" s="24"/>
      <c r="D27" s="25"/>
    </row>
    <row r="28" spans="1:4" ht="12.65" customHeight="1" x14ac:dyDescent="0.35">
      <c r="A28" s="5"/>
    </row>
    <row r="29" spans="1:4" ht="12.65" customHeight="1" x14ac:dyDescent="0.35">
      <c r="A29" s="14" t="s">
        <v>58</v>
      </c>
    </row>
    <row r="30" spans="1:4" ht="12.65" customHeight="1" x14ac:dyDescent="0.35">
      <c r="A30" s="5"/>
    </row>
    <row r="31" spans="1:4" x14ac:dyDescent="0.35">
      <c r="A31" s="14" t="s">
        <v>59</v>
      </c>
    </row>
    <row r="32" spans="1:4" x14ac:dyDescent="0.35">
      <c r="A32" s="5"/>
    </row>
    <row r="33" spans="1:4" x14ac:dyDescent="0.35">
      <c r="A33" s="14" t="s">
        <v>75</v>
      </c>
    </row>
    <row r="34" spans="1:4" x14ac:dyDescent="0.35">
      <c r="A34" s="5"/>
    </row>
    <row r="35" spans="1:4" ht="15" customHeight="1" x14ac:dyDescent="0.35">
      <c r="A35" s="172" t="s">
        <v>76</v>
      </c>
      <c r="B35" s="172"/>
      <c r="C35" s="172"/>
      <c r="D35" s="172"/>
    </row>
    <row r="36" spans="1:4" x14ac:dyDescent="0.35">
      <c r="A36" s="173" t="s">
        <v>77</v>
      </c>
      <c r="B36" s="173"/>
      <c r="C36" s="173"/>
      <c r="D36" s="173"/>
    </row>
    <row r="37" spans="1:4" x14ac:dyDescent="0.35">
      <c r="A37" s="22"/>
      <c r="B37" s="22"/>
      <c r="C37" s="22"/>
      <c r="D37" s="22"/>
    </row>
    <row r="39" spans="1:4" x14ac:dyDescent="0.35">
      <c r="A39" s="15" t="s">
        <v>63</v>
      </c>
      <c r="B39" s="175" t="s">
        <v>95</v>
      </c>
      <c r="C39" s="175"/>
      <c r="D39" s="175"/>
    </row>
    <row r="41" spans="1:4" x14ac:dyDescent="0.35">
      <c r="A41" s="97" t="s">
        <v>60</v>
      </c>
      <c r="B41" s="174" t="s">
        <v>61</v>
      </c>
      <c r="C41" s="174"/>
      <c r="D41" s="98" t="s">
        <v>62</v>
      </c>
    </row>
    <row r="42" spans="1:4" x14ac:dyDescent="0.35">
      <c r="A42" s="17" t="s">
        <v>52</v>
      </c>
      <c r="B42" s="176">
        <v>1</v>
      </c>
      <c r="C42" s="176"/>
      <c r="D42" s="18">
        <v>5850</v>
      </c>
    </row>
    <row r="43" spans="1:4" x14ac:dyDescent="0.35">
      <c r="A43" s="167" t="s">
        <v>64</v>
      </c>
      <c r="B43" s="167"/>
      <c r="C43" s="167"/>
      <c r="D43" s="167"/>
    </row>
    <row r="44" spans="1:4" x14ac:dyDescent="0.35">
      <c r="A44" s="168"/>
      <c r="B44" s="168"/>
      <c r="C44" s="168"/>
      <c r="D44" s="168"/>
    </row>
    <row r="45" spans="1:4" x14ac:dyDescent="0.35">
      <c r="A45" s="161"/>
      <c r="B45" s="162"/>
      <c r="C45" s="162"/>
      <c r="D45" s="163"/>
    </row>
    <row r="46" spans="1:4" x14ac:dyDescent="0.35">
      <c r="A46" s="164"/>
      <c r="B46" s="165"/>
      <c r="C46" s="165"/>
      <c r="D46" s="166"/>
    </row>
    <row r="47" spans="1:4" x14ac:dyDescent="0.35">
      <c r="A47" s="20"/>
      <c r="B47" s="19" t="s">
        <v>68</v>
      </c>
      <c r="C47" s="19"/>
      <c r="D47" s="19"/>
    </row>
    <row r="48" spans="1:4" ht="14.5" customHeight="1" x14ac:dyDescent="0.35"/>
  </sheetData>
  <mergeCells count="15">
    <mergeCell ref="A45:D46"/>
    <mergeCell ref="A43:D44"/>
    <mergeCell ref="C12:C14"/>
    <mergeCell ref="C15:C17"/>
    <mergeCell ref="C21:C23"/>
    <mergeCell ref="C24:C26"/>
    <mergeCell ref="B12:B14"/>
    <mergeCell ref="B15:B17"/>
    <mergeCell ref="B21:B23"/>
    <mergeCell ref="B24:B26"/>
    <mergeCell ref="A35:D35"/>
    <mergeCell ref="A36:D36"/>
    <mergeCell ref="B41:C41"/>
    <mergeCell ref="B39:D39"/>
    <mergeCell ref="B42:C42"/>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SERVICE QUOTE</vt:lpstr>
      <vt:lpstr>BIB - CALIBRATION RATES</vt:lpstr>
      <vt:lpstr>'BIB - CALIBRATION RATES'!Print_Area</vt:lpstr>
      <vt:lpstr>'SERVICE QUOTE'!Print_Area</vt:lpstr>
      <vt:lpstr>travel</vt:lpstr>
      <vt:lpstr>travell</vt:lpstr>
    </vt:vector>
  </TitlesOfParts>
  <Company>Scholle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Bergren, Brian</cp:lastModifiedBy>
  <cp:lastPrinted>2025-12-26T14:28:47Z</cp:lastPrinted>
  <dcterms:created xsi:type="dcterms:W3CDTF">2010-11-16T20:41:00Z</dcterms:created>
  <dcterms:modified xsi:type="dcterms:W3CDTF">2026-02-27T01:20:08Z</dcterms:modified>
</cp:coreProperties>
</file>