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alcChain.xml" ContentType="application/vnd.openxmlformats-officedocument.spreadsheetml.calcChain+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defaultThemeVersion="202300"/>
  <mc:AlternateContent xmlns:mc="http://schemas.openxmlformats.org/markup-compatibility/2006">
    <mc:Choice Requires="x15">
      <x15ac:absPath xmlns:x15ac="http://schemas.microsoft.com/office/spreadsheetml/2010/11/ac" url="https://sigitglobal-my.sharepoint.com/personal/brian_bergren_sig_biz/Documents/Desktop/Desktop 1/Scholle Documents/FST FORMS/FSR FORMS 2026/"/>
    </mc:Choice>
  </mc:AlternateContent>
  <xr:revisionPtr revIDLastSave="21" documentId="8_{65FFE7E4-1E23-44B1-8BC2-3AFF8767D9F6}" xr6:coauthVersionLast="47" xr6:coauthVersionMax="47" xr10:uidLastSave="{8050A35E-1BED-4039-AF63-3747EAFDA102}"/>
  <bookViews>
    <workbookView xWindow="-120" yWindow="-120" windowWidth="24240" windowHeight="13140" xr2:uid="{75152C66-752E-4347-8666-F63CA96AD5A3}"/>
  </bookViews>
  <sheets>
    <sheet name="SERVICE QUOTE" sheetId="1" r:id="rId1"/>
    <sheet name="CALIBRATION RATES" sheetId="2" r:id="rId2"/>
  </sheets>
  <definedNames>
    <definedName name="_xlnm.Print_Area" localSheetId="1">'CALIBRATION RATES'!$A$1:$D$46</definedName>
    <definedName name="_xlnm.Print_Area" localSheetId="0">'SERVICE QUOTE'!$A$1:$O$62</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O34" i="1" l="1"/>
  <c r="O27" i="1"/>
  <c r="O26" i="1"/>
  <c r="O25" i="1"/>
  <c r="O24" i="1"/>
  <c r="I28" i="1"/>
  <c r="C25" i="1"/>
  <c r="C26" i="1" s="1"/>
  <c r="O54" i="1"/>
  <c r="O46" i="1"/>
  <c r="G46" i="1"/>
  <c r="O55" i="1" s="1"/>
  <c r="O42" i="1"/>
  <c r="O41" i="1"/>
  <c r="O40" i="1"/>
  <c r="O39" i="1"/>
  <c r="O38" i="1"/>
  <c r="O37" i="1"/>
  <c r="O36" i="1"/>
  <c r="O35" i="1"/>
  <c r="O33" i="1"/>
  <c r="O32" i="1"/>
  <c r="O31" i="1"/>
  <c r="G42" i="1"/>
  <c r="G41" i="1"/>
  <c r="G40" i="1"/>
  <c r="G39" i="1"/>
  <c r="G38" i="1"/>
  <c r="G37" i="1"/>
  <c r="G36" i="1"/>
  <c r="G35" i="1"/>
  <c r="G33" i="1"/>
  <c r="G32" i="1"/>
  <c r="G31" i="1"/>
  <c r="L43" i="1"/>
  <c r="D43" i="1"/>
  <c r="A42" i="1"/>
  <c r="A40" i="1"/>
  <c r="A38" i="1"/>
  <c r="A36" i="1"/>
  <c r="A34" i="1"/>
  <c r="A32" i="1"/>
  <c r="I32" i="1"/>
  <c r="G43" i="1" l="1"/>
  <c r="O52" i="1" s="1"/>
  <c r="O43" i="1"/>
  <c r="O53" i="1" s="1"/>
  <c r="O28" i="1"/>
  <c r="O51" i="1" s="1"/>
  <c r="I34" i="1"/>
  <c r="I36" i="1"/>
  <c r="I38" i="1"/>
  <c r="I40" i="1"/>
  <c r="I42" i="1"/>
  <c r="O58" i="1" l="1"/>
</calcChain>
</file>

<file path=xl/sharedStrings.xml><?xml version="1.0" encoding="utf-8"?>
<sst xmlns="http://schemas.openxmlformats.org/spreadsheetml/2006/main" count="195" uniqueCount="109">
  <si>
    <t>DBL</t>
  </si>
  <si>
    <t xml:space="preserve"> HRS    X</t>
  </si>
  <si>
    <t>REG</t>
  </si>
  <si>
    <t>OT</t>
  </si>
  <si>
    <t xml:space="preserve">WEEK 1 HRS  = </t>
  </si>
  <si>
    <t xml:space="preserve">WEEK 2 HRS  = </t>
  </si>
  <si>
    <t>LABOR SUBTOTAL  =</t>
  </si>
  <si>
    <t>TRAVEL TIME</t>
  </si>
  <si>
    <t>FROM:</t>
  </si>
  <si>
    <t>=</t>
  </si>
  <si>
    <t>TO:</t>
  </si>
  <si>
    <t>TRAVEL SUBTOTAL</t>
  </si>
  <si>
    <t>FIELD SERVICE RATES - USA</t>
  </si>
  <si>
    <t>REGULAR TIME</t>
  </si>
  <si>
    <t>$160.00/HR</t>
  </si>
  <si>
    <t>OVERTIME</t>
  </si>
  <si>
    <t>$240.00/HR</t>
  </si>
  <si>
    <t>PREMIUM TIME</t>
  </si>
  <si>
    <t>$320.00/HR</t>
  </si>
  <si>
    <t>SUNDAYS &amp; HOLIDAYS</t>
  </si>
  <si>
    <t>$ 100.00/HR</t>
  </si>
  <si>
    <t>TRAVEL TIME DOOR TO DOOR MONDAY - FRIDAY</t>
  </si>
  <si>
    <t>PREMIUM 1 TRAVEL TIME</t>
  </si>
  <si>
    <t>$150.00/HR</t>
  </si>
  <si>
    <t>TRAVEL TIME ON SATURDAY</t>
  </si>
  <si>
    <t>PREMIUM 2 TRAVEL TIME</t>
  </si>
  <si>
    <t>$200.00/HR</t>
  </si>
  <si>
    <t>TRAVEL TIME ON SUNDAYS &amp; HOLIDAYS</t>
  </si>
  <si>
    <t>EXPENSES</t>
  </si>
  <si>
    <t>AT COST</t>
  </si>
  <si>
    <t>INCLUDES: AIRFARE OR MILEAGE, HOTEL, MEALS, MISC.</t>
  </si>
  <si>
    <t>SUN.</t>
  </si>
  <si>
    <t>MON.</t>
  </si>
  <si>
    <t>TUE.</t>
  </si>
  <si>
    <t>WED.</t>
  </si>
  <si>
    <t>THU.</t>
  </si>
  <si>
    <t>FRI.</t>
  </si>
  <si>
    <t>SAT.</t>
  </si>
  <si>
    <t>BILLED AT COST (INCLUDES: AIRFARE OR MILEAGE, HOTEL, MEALS, MISC.)</t>
  </si>
  <si>
    <t>EXPENSE SUBTOTAL</t>
  </si>
  <si>
    <t>PREPARATION SUBTOTAL</t>
  </si>
  <si>
    <t>(PAGE 2)    CALIBRATION SUBTOTAL</t>
  </si>
  <si>
    <t xml:space="preserve">      SALES ACCOMMODATION SUBTOTAL</t>
  </si>
  <si>
    <t>GRAND TOTAL</t>
  </si>
  <si>
    <t>WEEK 1</t>
  </si>
  <si>
    <t>WEEK 2</t>
  </si>
  <si>
    <t>MONDAY-FRIDAY 8AM-4PM</t>
  </si>
  <si>
    <t>MONDAY-FRIDAY 4PM-8AM/WEEKDAYS OVER 8HRS/ALL DAY SATURDAY</t>
  </si>
  <si>
    <t>SIG SERVICE QUOTE - STANDARD RATES USD</t>
  </si>
  <si>
    <t>SCOPE OF VISIT:</t>
  </si>
  <si>
    <t>CUSTOMER:</t>
  </si>
  <si>
    <t>CITY / STATE:</t>
  </si>
  <si>
    <t xml:space="preserve">TOTAL TRAVEL HRS  = </t>
  </si>
  <si>
    <t>NOTE:</t>
  </si>
  <si>
    <t>All totals are estimated and you will be billed at actual costs.  To avoid additional costs, please have all rebuild parts on hand and all trainees available upon technician’s arrival. Technicians may work up to 12hrs in a 24hr time period. Overtime will be charged for anytime over 8hrs in a day or out of normal business hours of 8am-4pm. A 4-hour minimim service charge will apply for all visits less than 4hrs. A 8-hour service call charge will apply when not needed in plant, but requested to stay local.</t>
  </si>
  <si>
    <t>Quoted by Brian Bergren on:</t>
  </si>
  <si>
    <t>Field Service Calibration Offerings – SIG</t>
  </si>
  <si>
    <r>
      <t>Unchanged since January 1</t>
    </r>
    <r>
      <rPr>
        <vertAlign val="superscript"/>
        <sz val="10"/>
        <color theme="1"/>
        <rFont val="Cambria"/>
        <family val="1"/>
      </rPr>
      <t>st</t>
    </r>
    <r>
      <rPr>
        <sz val="10"/>
        <color theme="1"/>
        <rFont val="Cambria"/>
        <family val="1"/>
      </rPr>
      <t>, 2024</t>
    </r>
  </si>
  <si>
    <t>Calibration Service Rates</t>
  </si>
  <si>
    <t>Fixed Cost</t>
  </si>
  <si>
    <t>Est Hours</t>
  </si>
  <si>
    <t>Included In Cost</t>
  </si>
  <si>
    <t>8am-4pm</t>
  </si>
  <si>
    <t>$3,500 / Machine</t>
  </si>
  <si>
    <r>
      <t>·</t>
    </r>
    <r>
      <rPr>
        <sz val="7"/>
        <color theme="1"/>
        <rFont val="Times New Roman"/>
        <family val="1"/>
      </rPr>
      <t xml:space="preserve">        </t>
    </r>
    <r>
      <rPr>
        <sz val="8"/>
        <color theme="1"/>
        <rFont val="Cambria"/>
        <family val="1"/>
      </rPr>
      <t>Basic Annual PM Parts</t>
    </r>
  </si>
  <si>
    <t>VST Annual Calibration</t>
  </si>
  <si>
    <r>
      <t>·</t>
    </r>
    <r>
      <rPr>
        <sz val="7"/>
        <color theme="1"/>
        <rFont val="Times New Roman"/>
        <family val="1"/>
      </rPr>
      <t xml:space="preserve">        </t>
    </r>
    <r>
      <rPr>
        <sz val="8"/>
        <color theme="1"/>
        <rFont val="Cambria"/>
        <family val="1"/>
      </rPr>
      <t>Calibration Equipment Shipping</t>
    </r>
  </si>
  <si>
    <r>
      <t>·</t>
    </r>
    <r>
      <rPr>
        <sz val="7"/>
        <color theme="1"/>
        <rFont val="Times New Roman"/>
        <family val="1"/>
      </rPr>
      <t xml:space="preserve">        </t>
    </r>
    <r>
      <rPr>
        <sz val="8"/>
        <color theme="1"/>
        <rFont val="Cambria"/>
        <family val="1"/>
      </rPr>
      <t>Calibration Cert. &amp; Sticker</t>
    </r>
  </si>
  <si>
    <t>$1,750 / Machine</t>
  </si>
  <si>
    <r>
      <t>·</t>
    </r>
    <r>
      <rPr>
        <sz val="7"/>
        <color theme="1"/>
        <rFont val="Times New Roman"/>
        <family val="1"/>
      </rPr>
      <t xml:space="preserve">        </t>
    </r>
    <r>
      <rPr>
        <sz val="8"/>
        <color theme="1"/>
        <rFont val="Cambria"/>
        <family val="1"/>
      </rPr>
      <t>Certs for each RTD</t>
    </r>
  </si>
  <si>
    <t>RTD Annual Calibration</t>
  </si>
  <si>
    <r>
      <t>·</t>
    </r>
    <r>
      <rPr>
        <sz val="7"/>
        <color theme="1"/>
        <rFont val="Times New Roman"/>
        <family val="1"/>
      </rPr>
      <t xml:space="preserve">        </t>
    </r>
    <r>
      <rPr>
        <sz val="8"/>
        <color theme="1"/>
        <rFont val="Cambria"/>
        <family val="1"/>
      </rPr>
      <t>Cert stickers for Each RTD</t>
    </r>
  </si>
  <si>
    <r>
      <t>·</t>
    </r>
    <r>
      <rPr>
        <sz val="7"/>
        <color theme="1"/>
        <rFont val="Times New Roman"/>
        <family val="1"/>
      </rPr>
      <t xml:space="preserve">        </t>
    </r>
    <r>
      <rPr>
        <sz val="8"/>
        <color theme="1"/>
        <rFont val="Cambria"/>
        <family val="1"/>
      </rPr>
      <t>Calibration Cert &amp; Sticker</t>
    </r>
  </si>
  <si>
    <t>Available Discounts</t>
  </si>
  <si>
    <t>$4,500 / Machine</t>
  </si>
  <si>
    <r>
      <t>·</t>
    </r>
    <r>
      <rPr>
        <sz val="7"/>
        <color theme="1"/>
        <rFont val="Times New Roman"/>
        <family val="1"/>
      </rPr>
      <t xml:space="preserve">        </t>
    </r>
    <r>
      <rPr>
        <sz val="8"/>
        <color theme="1"/>
        <rFont val="Cambria"/>
        <family val="1"/>
      </rPr>
      <t>Includes all of the above</t>
    </r>
  </si>
  <si>
    <t>VST &amp; RTD Calibration (Same Day)</t>
  </si>
  <si>
    <r>
      <t>·</t>
    </r>
    <r>
      <rPr>
        <sz val="7"/>
        <color theme="1"/>
        <rFont val="Times New Roman"/>
        <family val="1"/>
      </rPr>
      <t xml:space="preserve">        </t>
    </r>
    <r>
      <rPr>
        <sz val="8"/>
        <color theme="1"/>
        <rFont val="Cambria"/>
        <family val="1"/>
      </rPr>
      <t>Must be same day</t>
    </r>
  </si>
  <si>
    <r>
      <t>·</t>
    </r>
    <r>
      <rPr>
        <sz val="7"/>
        <color theme="1"/>
        <rFont val="Times New Roman"/>
        <family val="1"/>
      </rPr>
      <t xml:space="preserve">        </t>
    </r>
    <r>
      <rPr>
        <sz val="8"/>
        <color theme="1"/>
        <rFont val="Cambria"/>
        <family val="1"/>
      </rPr>
      <t>$750.00 discount</t>
    </r>
  </si>
  <si>
    <t>$3,000 / Machine</t>
  </si>
  <si>
    <t>VST &amp; RTD Calibration Multi-Machine Discount</t>
  </si>
  <si>
    <r>
      <t>·</t>
    </r>
    <r>
      <rPr>
        <sz val="7"/>
        <color theme="1"/>
        <rFont val="Times New Roman"/>
        <family val="1"/>
      </rPr>
      <t xml:space="preserve">        </t>
    </r>
    <r>
      <rPr>
        <sz val="8"/>
        <color theme="1"/>
        <rFont val="Cambria"/>
        <family val="1"/>
      </rPr>
      <t>Must be same visit</t>
    </r>
  </si>
  <si>
    <t xml:space="preserve"> (3 or more machines on same visit)</t>
  </si>
  <si>
    <r>
      <t>·</t>
    </r>
    <r>
      <rPr>
        <sz val="7"/>
        <color theme="1"/>
        <rFont val="Times New Roman"/>
        <family val="1"/>
      </rPr>
      <t xml:space="preserve">        </t>
    </r>
    <r>
      <rPr>
        <sz val="8"/>
        <color theme="1"/>
        <rFont val="Cambria"/>
        <family val="1"/>
      </rPr>
      <t>Additional $1.500.00 discount</t>
    </r>
  </si>
  <si>
    <r>
      <t>·</t>
    </r>
    <r>
      <rPr>
        <sz val="7"/>
        <color theme="1"/>
        <rFont val="Times New Roman"/>
        <family val="1"/>
      </rPr>
      <t xml:space="preserve">        </t>
    </r>
    <r>
      <rPr>
        <sz val="10"/>
        <color theme="1"/>
        <rFont val="Cambria"/>
        <family val="1"/>
      </rPr>
      <t xml:space="preserve">Fixed cost includes labor only during 8am-4pm. </t>
    </r>
  </si>
  <si>
    <r>
      <t>·</t>
    </r>
    <r>
      <rPr>
        <sz val="7"/>
        <color theme="1"/>
        <rFont val="Times New Roman"/>
        <family val="1"/>
      </rPr>
      <t xml:space="preserve">        </t>
    </r>
    <r>
      <rPr>
        <sz val="10"/>
        <color theme="1"/>
        <rFont val="Cambria"/>
        <family val="1"/>
      </rPr>
      <t>Expenses and Travel Time will be invoiced at actual costs.</t>
    </r>
  </si>
  <si>
    <r>
      <t>·</t>
    </r>
    <r>
      <rPr>
        <sz val="7"/>
        <color theme="1"/>
        <rFont val="Times New Roman"/>
        <family val="1"/>
      </rPr>
      <t xml:space="preserve">        </t>
    </r>
    <r>
      <rPr>
        <sz val="10"/>
        <color theme="1"/>
        <rFont val="Cambria"/>
        <family val="1"/>
      </rPr>
      <t>Both VST Calibration &amp; RTD Calibration must be performed on same day of visit to receive discount.</t>
    </r>
  </si>
  <si>
    <r>
      <t>·</t>
    </r>
    <r>
      <rPr>
        <sz val="7"/>
        <color theme="1"/>
        <rFont val="Times New Roman"/>
        <family val="1"/>
      </rPr>
      <t xml:space="preserve">        </t>
    </r>
    <r>
      <rPr>
        <sz val="10"/>
        <color theme="1"/>
        <rFont val="Cambria"/>
        <family val="1"/>
      </rPr>
      <t xml:space="preserve">Spare Parts: Recommend spare parts should be onsite prior to calibration. These include all pump                    </t>
    </r>
  </si>
  <si>
    <t xml:space="preserve">        types, all RTD types and all sensor types.</t>
  </si>
  <si>
    <t>Calibration Offering For :</t>
  </si>
  <si>
    <t>Calibration Package Offered</t>
  </si>
  <si>
    <t>Number Of Machines</t>
  </si>
  <si>
    <t>Total Cost</t>
  </si>
  <si>
    <t>Notes:</t>
  </si>
  <si>
    <t xml:space="preserve">    PAGE 2</t>
  </si>
  <si>
    <t>FSE 1 PREPARATION TIME</t>
  </si>
  <si>
    <t>FSE 2 PREPARATION TIME</t>
  </si>
  <si>
    <t>FSE 1 LABOR SUBTOTAL</t>
  </si>
  <si>
    <t>FSE 2 LABOR SUBTOTAL</t>
  </si>
  <si>
    <t>GALLOWAY</t>
  </si>
  <si>
    <t>NEENAH, WI</t>
  </si>
  <si>
    <t>CHICAGO</t>
  </si>
  <si>
    <t>CAL</t>
  </si>
  <si>
    <t>FIELD SERVICE ENGINEER 1</t>
  </si>
  <si>
    <t>FIELD SERVICE ENGINEER 2</t>
  </si>
  <si>
    <t>Galloway</t>
  </si>
  <si>
    <t>Calibration &amp; PM for SF40 on 3/3 and rebuild PM on (2) SF44's 3/4-3/5</t>
  </si>
  <si>
    <t>SPECIAL AGREEMENT REACHED ON 2/27/26 TO REQUOTE WITH 2025 RATES. THIS AGREEMENT IS GOOD THROUGH 12/31/26</t>
  </si>
  <si>
    <t>QUOTE #:20260227</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</si>
</sst>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8" formatCode="&quot;$&quot;#,##0.00_);[Red]\(&quot;$&quot;#,##0.00\)"/>
    <numFmt numFmtId="164" formatCode="0.0"/>
    <numFmt numFmtId="165" formatCode="m/d/yy;@"/>
    <numFmt numFmtId="166" formatCode="&quot;$&quot;#,##0.00"/>
    <numFmt numFmtId="167" formatCode="&quot;$&quot;#,##0"/>
  </numFmts>
  <fonts count="28" x14ac:knownFonts="1">
    <font>
      <sz val="11"/>
      <color theme="1"/>
      <name val="Aptos Narrow"/>
      <family val="2"/>
      <scheme val="minor"/>
    </font>
    <font>
      <b/>
      <sz val="11"/>
      <color theme="1"/>
      <name val="Aptos Narrow"/>
      <family val="2"/>
      <scheme val="minor"/>
    </font>
    <font>
      <sz val="8"/>
      <color theme="1"/>
      <name val="Aptos Narrow"/>
      <family val="2"/>
      <scheme val="minor"/>
    </font>
    <font>
      <b/>
      <sz val="8"/>
      <color theme="1"/>
      <name val="Aptos Narrow"/>
      <family val="2"/>
      <scheme val="minor"/>
    </font>
    <font>
      <b/>
      <sz val="10"/>
      <color theme="1"/>
      <name val="Aptos Narrow"/>
      <family val="2"/>
      <scheme val="minor"/>
    </font>
    <font>
      <sz val="10"/>
      <color theme="1"/>
      <name val="Aptos Narrow"/>
      <family val="2"/>
      <scheme val="minor"/>
    </font>
    <font>
      <sz val="11"/>
      <color theme="3" tint="0.249977111117893"/>
      <name val="Aptos Narrow"/>
      <family val="2"/>
      <scheme val="minor"/>
    </font>
    <font>
      <b/>
      <sz val="10"/>
      <color theme="3" tint="0.249977111117893"/>
      <name val="Aptos Narrow"/>
      <family val="2"/>
      <scheme val="minor"/>
    </font>
    <font>
      <b/>
      <sz val="8"/>
      <color rgb="FFFF0000"/>
      <name val="Aptos Narrow"/>
      <family val="2"/>
      <scheme val="minor"/>
    </font>
    <font>
      <b/>
      <sz val="10"/>
      <color theme="0"/>
      <name val="Aptos Narrow"/>
      <family val="2"/>
      <scheme val="minor"/>
    </font>
    <font>
      <b/>
      <sz val="8"/>
      <color theme="0"/>
      <name val="Aptos Narrow"/>
      <family val="2"/>
      <scheme val="minor"/>
    </font>
    <font>
      <b/>
      <sz val="9"/>
      <color theme="3" tint="0.249977111117893"/>
      <name val="Aptos Narrow"/>
      <family val="2"/>
      <scheme val="minor"/>
    </font>
    <font>
      <b/>
      <sz val="11"/>
      <color theme="0"/>
      <name val="Aptos Narrow"/>
      <family val="2"/>
      <scheme val="minor"/>
    </font>
    <font>
      <b/>
      <sz val="12"/>
      <color theme="1"/>
      <name val="Cambria"/>
      <family val="1"/>
    </font>
    <font>
      <sz val="10"/>
      <color theme="1"/>
      <name val="Cambria"/>
      <family val="1"/>
    </font>
    <font>
      <vertAlign val="superscript"/>
      <sz val="10"/>
      <color theme="1"/>
      <name val="Cambria"/>
      <family val="1"/>
    </font>
    <font>
      <sz val="10"/>
      <color rgb="FFFFFFFF"/>
      <name val="Cambria"/>
      <family val="1"/>
    </font>
    <font>
      <b/>
      <sz val="9"/>
      <color rgb="FFFFFFFF"/>
      <name val="Cambria"/>
      <family val="1"/>
    </font>
    <font>
      <b/>
      <sz val="12"/>
      <color rgb="FFFFFFFF"/>
      <name val="Cambria"/>
      <family val="1"/>
    </font>
    <font>
      <b/>
      <sz val="9"/>
      <color theme="1"/>
      <name val="Cambria"/>
      <family val="1"/>
    </font>
    <font>
      <sz val="8"/>
      <color theme="1"/>
      <name val="Cambria"/>
      <family val="1"/>
    </font>
    <font>
      <sz val="8"/>
      <color theme="1"/>
      <name val="Symbol"/>
      <family val="1"/>
      <charset val="2"/>
    </font>
    <font>
      <sz val="7"/>
      <color theme="1"/>
      <name val="Times New Roman"/>
      <family val="1"/>
    </font>
    <font>
      <sz val="9"/>
      <color theme="1"/>
      <name val="Cambria"/>
      <family val="1"/>
    </font>
    <font>
      <sz val="10"/>
      <color theme="1"/>
      <name val="Symbol"/>
      <family val="1"/>
      <charset val="2"/>
    </font>
    <font>
      <sz val="10"/>
      <color theme="1"/>
      <name val="Times New Roman"/>
      <family val="1"/>
    </font>
    <font>
      <b/>
      <sz val="8"/>
      <color theme="0" tint="-0.34998626667073579"/>
      <name val="Aptos Narrow"/>
      <family val="2"/>
      <scheme val="minor"/>
    </font>
    <font>
      <b/>
      <sz val="11"/>
      <color rgb="FFFF0000"/>
      <name val="Aptos Narrow"/>
      <family val="2"/>
      <scheme val="minor"/>
    </font>
  </fonts>
  <fills count="6">
    <fill>
      <patternFill patternType="none"/>
    </fill>
    <fill>
      <patternFill patternType="gray125"/>
    </fill>
    <fill>
      <patternFill patternType="solid">
        <fgColor theme="0"/>
        <bgColor indexed="64"/>
      </patternFill>
    </fill>
    <fill>
      <patternFill patternType="solid">
        <fgColor theme="0" tint="-0.14999847407452621"/>
        <bgColor indexed="64"/>
      </patternFill>
    </fill>
    <fill>
      <patternFill patternType="solid">
        <fgColor theme="0" tint="-4.9989318521683403E-2"/>
        <bgColor indexed="64"/>
      </patternFill>
    </fill>
    <fill>
      <patternFill patternType="solid">
        <fgColor theme="3" tint="0.249977111117893"/>
        <bgColor indexed="64"/>
      </patternFill>
    </fill>
  </fills>
  <borders count="20">
    <border>
      <left/>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top/>
      <bottom/>
      <diagonal/>
    </border>
    <border>
      <left/>
      <right style="thin">
        <color indexed="64"/>
      </right>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style="thin">
        <color indexed="64"/>
      </right>
      <top/>
      <bottom/>
      <diagonal/>
    </border>
    <border>
      <left style="medium">
        <color indexed="64"/>
      </left>
      <right style="medium">
        <color indexed="64"/>
      </right>
      <top style="medium">
        <color indexed="64"/>
      </top>
      <bottom/>
      <diagonal/>
    </border>
    <border>
      <left/>
      <right style="medium">
        <color indexed="64"/>
      </right>
      <top style="medium">
        <color indexed="64"/>
      </top>
      <bottom/>
      <diagonal/>
    </border>
    <border>
      <left style="medium">
        <color indexed="64"/>
      </left>
      <right style="medium">
        <color indexed="64"/>
      </right>
      <top/>
      <bottom/>
      <diagonal/>
    </border>
    <border>
      <left/>
      <right style="medium">
        <color indexed="64"/>
      </right>
      <top/>
      <bottom/>
      <diagonal/>
    </border>
    <border>
      <left style="medium">
        <color indexed="64"/>
      </left>
      <right style="medium">
        <color indexed="64"/>
      </right>
      <top/>
      <bottom style="medium">
        <color indexed="64"/>
      </bottom>
      <diagonal/>
    </border>
    <border>
      <left/>
      <right style="medium">
        <color indexed="64"/>
      </right>
      <top/>
      <bottom style="medium">
        <color indexed="64"/>
      </bottom>
      <diagonal/>
    </border>
  </borders>
  <cellStyleXfs count="1">
    <xf numFmtId="0" fontId="0" fillId="0" borderId="0"/>
  </cellStyleXfs>
  <cellXfs count="176">
    <xf numFmtId="0" fontId="0" fillId="0" borderId="0" xfId="0"/>
    <xf numFmtId="0" fontId="4" fillId="0" borderId="0" xfId="0" applyFont="1" applyAlignment="1">
      <alignment horizontal="right" vertical="center"/>
    </xf>
    <xf numFmtId="0" fontId="3" fillId="0" borderId="0" xfId="0" applyFont="1" applyAlignment="1">
      <alignment horizontal="right" vertical="center"/>
    </xf>
    <xf numFmtId="0" fontId="3" fillId="0" borderId="0" xfId="0" applyFont="1" applyAlignment="1">
      <alignment vertical="center"/>
    </xf>
    <xf numFmtId="0" fontId="3" fillId="0" borderId="0" xfId="0" applyFont="1" applyAlignment="1">
      <alignment horizontal="center" vertical="center"/>
    </xf>
    <xf numFmtId="8" fontId="3" fillId="0" borderId="0" xfId="0" applyNumberFormat="1" applyFont="1" applyAlignment="1">
      <alignment horizontal="right" vertical="center"/>
    </xf>
    <xf numFmtId="0" fontId="0" fillId="0" borderId="13" xfId="0" applyBorder="1"/>
    <xf numFmtId="8" fontId="3" fillId="0" borderId="13" xfId="0" applyNumberFormat="1" applyFont="1" applyBorder="1" applyAlignment="1">
      <alignment vertical="center"/>
    </xf>
    <xf numFmtId="1" fontId="3" fillId="0" borderId="13" xfId="0" applyNumberFormat="1" applyFont="1" applyBorder="1" applyAlignment="1">
      <alignment horizontal="center" vertical="center"/>
    </xf>
    <xf numFmtId="1" fontId="3" fillId="2" borderId="13" xfId="0" applyNumberFormat="1" applyFont="1" applyFill="1" applyBorder="1" applyAlignment="1">
      <alignment horizontal="center" vertical="center"/>
    </xf>
    <xf numFmtId="0" fontId="4" fillId="0" borderId="13" xfId="0" applyFont="1" applyBorder="1" applyAlignment="1">
      <alignment horizontal="left" vertical="center"/>
    </xf>
    <xf numFmtId="0" fontId="4" fillId="0" borderId="11" xfId="0" applyFont="1" applyBorder="1" applyAlignment="1">
      <alignment horizontal="right" vertical="center"/>
    </xf>
    <xf numFmtId="0" fontId="3" fillId="0" borderId="11" xfId="0" applyFont="1" applyBorder="1" applyAlignment="1">
      <alignment horizontal="right" vertical="center"/>
    </xf>
    <xf numFmtId="0" fontId="3" fillId="0" borderId="11" xfId="0" applyFont="1" applyBorder="1" applyAlignment="1">
      <alignment vertical="center"/>
    </xf>
    <xf numFmtId="0" fontId="3" fillId="0" borderId="12" xfId="0" applyFont="1" applyBorder="1" applyAlignment="1">
      <alignment horizontal="right" vertical="center"/>
    </xf>
    <xf numFmtId="0" fontId="3" fillId="3" borderId="2" xfId="0" applyFont="1" applyFill="1" applyBorder="1" applyAlignment="1">
      <alignment horizontal="center" vertical="center"/>
    </xf>
    <xf numFmtId="0" fontId="3" fillId="3" borderId="3" xfId="0" applyFont="1" applyFill="1" applyBorder="1" applyAlignment="1">
      <alignment horizontal="center" vertical="center"/>
    </xf>
    <xf numFmtId="1" fontId="2" fillId="3" borderId="3" xfId="0" applyNumberFormat="1" applyFont="1" applyFill="1" applyBorder="1" applyAlignment="1" applyProtection="1">
      <alignment horizontal="center" vertical="center"/>
      <protection locked="0"/>
    </xf>
    <xf numFmtId="164" fontId="3" fillId="3" borderId="2" xfId="0" applyNumberFormat="1" applyFont="1" applyFill="1" applyBorder="1" applyAlignment="1" applyProtection="1">
      <alignment horizontal="center" vertical="center"/>
      <protection locked="0"/>
    </xf>
    <xf numFmtId="8" fontId="3" fillId="3" borderId="2" xfId="0" applyNumberFormat="1" applyFont="1" applyFill="1" applyBorder="1" applyAlignment="1">
      <alignment vertical="center"/>
    </xf>
    <xf numFmtId="8" fontId="2" fillId="3" borderId="4" xfId="0" applyNumberFormat="1" applyFont="1" applyFill="1" applyBorder="1" applyAlignment="1">
      <alignment horizontal="center" vertical="center"/>
    </xf>
    <xf numFmtId="14" fontId="2" fillId="4" borderId="1" xfId="0" applyNumberFormat="1" applyFont="1" applyFill="1" applyBorder="1" applyAlignment="1" applyProtection="1">
      <alignment horizontal="center" vertical="center"/>
      <protection locked="0"/>
    </xf>
    <xf numFmtId="0" fontId="3" fillId="4" borderId="2" xfId="0" applyFont="1" applyFill="1" applyBorder="1" applyAlignment="1">
      <alignment horizontal="center" vertical="center"/>
    </xf>
    <xf numFmtId="0" fontId="3" fillId="4" borderId="3" xfId="0" applyFont="1" applyFill="1" applyBorder="1" applyAlignment="1">
      <alignment horizontal="center" vertical="center"/>
    </xf>
    <xf numFmtId="1" fontId="2" fillId="4" borderId="3" xfId="0" applyNumberFormat="1" applyFont="1" applyFill="1" applyBorder="1" applyAlignment="1" applyProtection="1">
      <alignment horizontal="center" vertical="center"/>
      <protection locked="0"/>
    </xf>
    <xf numFmtId="164" fontId="3" fillId="4" borderId="2" xfId="0" applyNumberFormat="1" applyFont="1" applyFill="1" applyBorder="1" applyAlignment="1" applyProtection="1">
      <alignment horizontal="center" vertical="center"/>
      <protection locked="0"/>
    </xf>
    <xf numFmtId="8" fontId="3" fillId="4" borderId="2" xfId="0" applyNumberFormat="1" applyFont="1" applyFill="1" applyBorder="1" applyAlignment="1">
      <alignment vertical="center"/>
    </xf>
    <xf numFmtId="8" fontId="2" fillId="4" borderId="4" xfId="0" applyNumberFormat="1" applyFont="1" applyFill="1" applyBorder="1" applyAlignment="1">
      <alignment horizontal="center" vertical="center"/>
    </xf>
    <xf numFmtId="14" fontId="2" fillId="3" borderId="1" xfId="0" applyNumberFormat="1" applyFont="1" applyFill="1" applyBorder="1" applyAlignment="1">
      <alignment horizontal="center" vertical="center"/>
    </xf>
    <xf numFmtId="14" fontId="2" fillId="4" borderId="1" xfId="0" applyNumberFormat="1" applyFont="1" applyFill="1" applyBorder="1" applyAlignment="1">
      <alignment horizontal="center" vertical="center"/>
    </xf>
    <xf numFmtId="0" fontId="3" fillId="4" borderId="6" xfId="0" applyFont="1" applyFill="1" applyBorder="1" applyAlignment="1">
      <alignment horizontal="right" vertical="center"/>
    </xf>
    <xf numFmtId="1" fontId="3" fillId="4" borderId="4" xfId="0" applyNumberFormat="1" applyFont="1" applyFill="1" applyBorder="1" applyAlignment="1">
      <alignment horizontal="center" vertical="center"/>
    </xf>
    <xf numFmtId="0" fontId="3" fillId="4" borderId="5" xfId="0" applyFont="1" applyFill="1" applyBorder="1" applyAlignment="1">
      <alignment vertical="center"/>
    </xf>
    <xf numFmtId="8" fontId="3" fillId="4" borderId="7" xfId="0" applyNumberFormat="1" applyFont="1" applyFill="1" applyBorder="1" applyAlignment="1">
      <alignment horizontal="center" vertical="center"/>
    </xf>
    <xf numFmtId="0" fontId="3" fillId="4" borderId="1" xfId="0" applyFont="1" applyFill="1" applyBorder="1" applyAlignment="1">
      <alignment horizontal="center" vertical="center"/>
    </xf>
    <xf numFmtId="1" fontId="2" fillId="4" borderId="3" xfId="0" applyNumberFormat="1" applyFont="1" applyFill="1" applyBorder="1" applyAlignment="1">
      <alignment horizontal="center" vertical="center"/>
    </xf>
    <xf numFmtId="164" fontId="3" fillId="4" borderId="1" xfId="0" applyNumberFormat="1" applyFont="1" applyFill="1" applyBorder="1" applyAlignment="1" applyProtection="1">
      <alignment horizontal="center" vertical="center"/>
      <protection locked="0"/>
    </xf>
    <xf numFmtId="14" fontId="2" fillId="3" borderId="1" xfId="0" applyNumberFormat="1" applyFont="1" applyFill="1" applyBorder="1" applyAlignment="1">
      <alignment horizontal="center" vertical="center" wrapText="1"/>
    </xf>
    <xf numFmtId="0" fontId="3" fillId="3" borderId="2" xfId="0" applyFont="1" applyFill="1" applyBorder="1" applyAlignment="1">
      <alignment horizontal="center" vertical="center" wrapText="1"/>
    </xf>
    <xf numFmtId="0" fontId="3" fillId="3" borderId="3" xfId="0" applyFont="1" applyFill="1" applyBorder="1" applyAlignment="1">
      <alignment horizontal="center" vertical="center" wrapText="1"/>
    </xf>
    <xf numFmtId="1" fontId="2" fillId="3" borderId="3" xfId="0" applyNumberFormat="1" applyFont="1" applyFill="1" applyBorder="1" applyAlignment="1" applyProtection="1">
      <alignment horizontal="center" vertical="center" wrapText="1"/>
      <protection locked="0"/>
    </xf>
    <xf numFmtId="166" fontId="3" fillId="4" borderId="4" xfId="0" applyNumberFormat="1" applyFont="1" applyFill="1" applyBorder="1" applyAlignment="1" applyProtection="1">
      <alignment vertical="center"/>
      <protection locked="0"/>
    </xf>
    <xf numFmtId="0" fontId="3" fillId="4" borderId="6" xfId="0" applyFont="1" applyFill="1" applyBorder="1" applyAlignment="1">
      <alignment horizontal="center" vertical="center"/>
    </xf>
    <xf numFmtId="14" fontId="2" fillId="3" borderId="5" xfId="0" applyNumberFormat="1" applyFont="1" applyFill="1" applyBorder="1" applyAlignment="1">
      <alignment vertical="center"/>
    </xf>
    <xf numFmtId="0" fontId="3" fillId="3" borderId="6" xfId="0" applyFont="1" applyFill="1" applyBorder="1" applyAlignment="1">
      <alignment horizontal="right" vertical="center"/>
    </xf>
    <xf numFmtId="0" fontId="3" fillId="3" borderId="6" xfId="0" applyFont="1" applyFill="1" applyBorder="1" applyAlignment="1">
      <alignment horizontal="center" vertical="center"/>
    </xf>
    <xf numFmtId="8" fontId="2" fillId="3" borderId="7" xfId="0" applyNumberFormat="1" applyFont="1" applyFill="1" applyBorder="1" applyAlignment="1">
      <alignment vertical="center"/>
    </xf>
    <xf numFmtId="165" fontId="2" fillId="3" borderId="5" xfId="0" applyNumberFormat="1" applyFont="1" applyFill="1" applyBorder="1" applyAlignment="1">
      <alignment vertical="center"/>
    </xf>
    <xf numFmtId="14" fontId="2" fillId="4" borderId="8" xfId="0" applyNumberFormat="1" applyFont="1" applyFill="1" applyBorder="1" applyAlignment="1" applyProtection="1">
      <alignment horizontal="right" vertical="center"/>
      <protection locked="0"/>
    </xf>
    <xf numFmtId="0" fontId="3" fillId="4" borderId="0" xfId="0" applyFont="1" applyFill="1" applyAlignment="1">
      <alignment horizontal="right" vertical="center"/>
    </xf>
    <xf numFmtId="0" fontId="3" fillId="4" borderId="0" xfId="0" applyFont="1" applyFill="1" applyAlignment="1">
      <alignment horizontal="center" vertical="center"/>
    </xf>
    <xf numFmtId="8" fontId="2" fillId="4" borderId="9" xfId="0" applyNumberFormat="1" applyFont="1" applyFill="1" applyBorder="1" applyAlignment="1">
      <alignment vertical="center"/>
    </xf>
    <xf numFmtId="8" fontId="3" fillId="4" borderId="7" xfId="0" applyNumberFormat="1" applyFont="1" applyFill="1" applyBorder="1" applyAlignment="1">
      <alignment horizontal="right" vertical="center"/>
    </xf>
    <xf numFmtId="0" fontId="3" fillId="4" borderId="11" xfId="0" applyFont="1" applyFill="1" applyBorder="1" applyAlignment="1">
      <alignment horizontal="center"/>
    </xf>
    <xf numFmtId="0" fontId="3" fillId="4" borderId="0" xfId="0" applyFont="1" applyFill="1" applyAlignment="1">
      <alignment horizontal="center"/>
    </xf>
    <xf numFmtId="0" fontId="3" fillId="4" borderId="6" xfId="0" applyFont="1" applyFill="1" applyBorder="1" applyAlignment="1">
      <alignment horizontal="center"/>
    </xf>
    <xf numFmtId="0" fontId="2" fillId="0" borderId="0" xfId="0" applyFont="1" applyAlignment="1">
      <alignment vertical="top" wrapText="1"/>
    </xf>
    <xf numFmtId="0" fontId="2" fillId="0" borderId="9" xfId="0" applyFont="1" applyBorder="1" applyAlignment="1">
      <alignment vertical="top" wrapText="1"/>
    </xf>
    <xf numFmtId="0" fontId="2" fillId="4" borderId="3" xfId="0" applyFont="1" applyFill="1" applyBorder="1"/>
    <xf numFmtId="165" fontId="6" fillId="0" borderId="0" xfId="0" applyNumberFormat="1" applyFont="1"/>
    <xf numFmtId="0" fontId="9" fillId="5" borderId="2" xfId="0" applyFont="1" applyFill="1" applyBorder="1" applyAlignment="1">
      <alignment horizontal="center"/>
    </xf>
    <xf numFmtId="8" fontId="9" fillId="5" borderId="2" xfId="0" applyNumberFormat="1" applyFont="1" applyFill="1" applyBorder="1" applyAlignment="1">
      <alignment horizontal="center"/>
    </xf>
    <xf numFmtId="0" fontId="7" fillId="0" borderId="0" xfId="0" applyFont="1" applyAlignment="1">
      <alignment vertical="center"/>
    </xf>
    <xf numFmtId="0" fontId="3" fillId="0" borderId="0" xfId="0" applyFont="1" applyAlignment="1">
      <alignment horizontal="left" vertical="center"/>
    </xf>
    <xf numFmtId="0" fontId="0" fillId="0" borderId="11" xfId="0" applyBorder="1"/>
    <xf numFmtId="0" fontId="8" fillId="0" borderId="12" xfId="0" applyFont="1" applyBorder="1" applyAlignment="1">
      <alignment vertical="center"/>
    </xf>
    <xf numFmtId="8" fontId="3" fillId="4" borderId="4" xfId="0" applyNumberFormat="1" applyFont="1" applyFill="1" applyBorder="1" applyAlignment="1">
      <alignment horizontal="center" vertical="center"/>
    </xf>
    <xf numFmtId="8" fontId="8" fillId="4" borderId="4" xfId="0" applyNumberFormat="1" applyFont="1" applyFill="1" applyBorder="1" applyAlignment="1">
      <alignment horizontal="center" vertical="center"/>
    </xf>
    <xf numFmtId="8" fontId="3" fillId="4" borderId="2" xfId="0" applyNumberFormat="1" applyFont="1" applyFill="1" applyBorder="1" applyAlignment="1">
      <alignment horizontal="center" vertical="center"/>
    </xf>
    <xf numFmtId="166" fontId="3" fillId="4" borderId="7" xfId="0" applyNumberFormat="1" applyFont="1" applyFill="1" applyBorder="1" applyAlignment="1">
      <alignment horizontal="center" vertical="center"/>
    </xf>
    <xf numFmtId="0" fontId="13" fillId="0" borderId="0" xfId="0" applyFont="1" applyAlignment="1">
      <alignment vertical="center"/>
    </xf>
    <xf numFmtId="0" fontId="14" fillId="0" borderId="0" xfId="0" applyFont="1" applyAlignment="1">
      <alignment vertical="center"/>
    </xf>
    <xf numFmtId="0" fontId="19" fillId="0" borderId="16" xfId="0" applyFont="1" applyBorder="1" applyAlignment="1">
      <alignment horizontal="center" vertical="center" wrapText="1"/>
    </xf>
    <xf numFmtId="0" fontId="21" fillId="0" borderId="17" xfId="0" applyFont="1" applyBorder="1" applyAlignment="1">
      <alignment horizontal="left" vertical="center" wrapText="1" indent="2"/>
    </xf>
    <xf numFmtId="0" fontId="21" fillId="0" borderId="17" xfId="0" applyFont="1" applyBorder="1" applyAlignment="1">
      <alignment horizontal="left" vertical="center" indent="2"/>
    </xf>
    <xf numFmtId="0" fontId="0" fillId="0" borderId="18" xfId="0" applyBorder="1" applyAlignment="1">
      <alignment vertical="top" wrapText="1"/>
    </xf>
    <xf numFmtId="0" fontId="21" fillId="0" borderId="19" xfId="0" applyFont="1" applyBorder="1" applyAlignment="1">
      <alignment horizontal="left" vertical="center" wrapText="1" indent="2"/>
    </xf>
    <xf numFmtId="0" fontId="23" fillId="0" borderId="16" xfId="0" applyFont="1" applyBorder="1" applyAlignment="1">
      <alignment vertical="center" wrapText="1"/>
    </xf>
    <xf numFmtId="0" fontId="23" fillId="0" borderId="16" xfId="0" applyFont="1" applyBorder="1" applyAlignment="1">
      <alignment horizontal="center" vertical="center" wrapText="1"/>
    </xf>
    <xf numFmtId="0" fontId="23" fillId="0" borderId="18" xfId="0" applyFont="1" applyBorder="1" applyAlignment="1">
      <alignment horizontal="center" vertical="center" wrapText="1"/>
    </xf>
    <xf numFmtId="0" fontId="19" fillId="0" borderId="16" xfId="0" applyFont="1" applyBorder="1" applyAlignment="1">
      <alignment vertical="center" wrapText="1"/>
    </xf>
    <xf numFmtId="0" fontId="23" fillId="0" borderId="0" xfId="0" applyFont="1" applyAlignment="1">
      <alignment horizontal="center" vertical="center" wrapText="1"/>
    </xf>
    <xf numFmtId="0" fontId="20" fillId="0" borderId="0" xfId="0" applyFont="1" applyAlignment="1">
      <alignment horizontal="center" vertical="center" wrapText="1"/>
    </xf>
    <xf numFmtId="0" fontId="21" fillId="0" borderId="0" xfId="0" applyFont="1" applyAlignment="1">
      <alignment horizontal="left" vertical="center" wrapText="1" indent="2"/>
    </xf>
    <xf numFmtId="0" fontId="24" fillId="0" borderId="0" xfId="0" applyFont="1" applyAlignment="1">
      <alignment horizontal="left" vertical="center"/>
    </xf>
    <xf numFmtId="0" fontId="24" fillId="0" borderId="0" xfId="0" applyFont="1" applyAlignment="1">
      <alignment horizontal="left" vertical="center" wrapText="1"/>
    </xf>
    <xf numFmtId="0" fontId="1" fillId="0" borderId="0" xfId="0" applyFont="1" applyAlignment="1">
      <alignment horizontal="right"/>
    </xf>
    <xf numFmtId="0" fontId="0" fillId="0" borderId="3" xfId="0" applyBorder="1" applyProtection="1">
      <protection locked="0"/>
    </xf>
    <xf numFmtId="167" fontId="0" fillId="0" borderId="3" xfId="0" applyNumberFormat="1" applyBorder="1" applyAlignment="1" applyProtection="1">
      <alignment horizontal="center"/>
      <protection locked="0"/>
    </xf>
    <xf numFmtId="0" fontId="26" fillId="0" borderId="11" xfId="0" applyFont="1" applyBorder="1" applyAlignment="1">
      <alignment wrapText="1"/>
    </xf>
    <xf numFmtId="0" fontId="3" fillId="0" borderId="11" xfId="0" applyFont="1" applyBorder="1" applyAlignment="1">
      <alignment wrapText="1"/>
    </xf>
    <xf numFmtId="0" fontId="16" fillId="5" borderId="14" xfId="0" applyFont="1" applyFill="1" applyBorder="1" applyAlignment="1">
      <alignment horizontal="center" vertical="center" wrapText="1"/>
    </xf>
    <xf numFmtId="0" fontId="17" fillId="5" borderId="15" xfId="0" applyFont="1" applyFill="1" applyBorder="1" applyAlignment="1">
      <alignment horizontal="center" vertical="center" wrapText="1"/>
    </xf>
    <xf numFmtId="0" fontId="18" fillId="5" borderId="16" xfId="0" applyFont="1" applyFill="1" applyBorder="1" applyAlignment="1">
      <alignment horizontal="center" vertical="center" wrapText="1"/>
    </xf>
    <xf numFmtId="0" fontId="17" fillId="5" borderId="17" xfId="0" applyFont="1" applyFill="1" applyBorder="1" applyAlignment="1">
      <alignment horizontal="center" vertical="center" wrapText="1"/>
    </xf>
    <xf numFmtId="0" fontId="0" fillId="5" borderId="18" xfId="0" applyFill="1" applyBorder="1" applyAlignment="1">
      <alignment vertical="top" wrapText="1"/>
    </xf>
    <xf numFmtId="0" fontId="17" fillId="5" borderId="19" xfId="0" applyFont="1" applyFill="1" applyBorder="1" applyAlignment="1">
      <alignment horizontal="center" vertical="center" wrapText="1"/>
    </xf>
    <xf numFmtId="0" fontId="0" fillId="5" borderId="19" xfId="0" applyFill="1" applyBorder="1" applyAlignment="1">
      <alignment vertical="top" wrapText="1"/>
    </xf>
    <xf numFmtId="0" fontId="17" fillId="5" borderId="16" xfId="0" applyFont="1" applyFill="1" applyBorder="1" applyAlignment="1">
      <alignment vertical="center" wrapText="1"/>
    </xf>
    <xf numFmtId="0" fontId="12" fillId="5" borderId="3" xfId="0" applyFont="1" applyFill="1" applyBorder="1"/>
    <xf numFmtId="0" fontId="12" fillId="5" borderId="3" xfId="0" applyFont="1" applyFill="1" applyBorder="1" applyAlignment="1">
      <alignment horizontal="center" vertical="center"/>
    </xf>
    <xf numFmtId="0" fontId="9" fillId="5" borderId="3" xfId="0" applyFont="1" applyFill="1" applyBorder="1" applyAlignment="1">
      <alignment horizontal="left" vertical="center"/>
    </xf>
    <xf numFmtId="0" fontId="3" fillId="4" borderId="1" xfId="0" applyFont="1" applyFill="1" applyBorder="1" applyAlignment="1">
      <alignment horizontal="right" vertical="center"/>
    </xf>
    <xf numFmtId="0" fontId="3" fillId="4" borderId="2" xfId="0" applyFont="1" applyFill="1" applyBorder="1" applyAlignment="1">
      <alignment horizontal="right" vertical="center"/>
    </xf>
    <xf numFmtId="0" fontId="10" fillId="5" borderId="1" xfId="0" applyFont="1" applyFill="1" applyBorder="1" applyAlignment="1">
      <alignment horizontal="right" vertical="center"/>
    </xf>
    <xf numFmtId="0" fontId="10" fillId="5" borderId="2" xfId="0" applyFont="1" applyFill="1" applyBorder="1" applyAlignment="1">
      <alignment horizontal="right" vertical="center"/>
    </xf>
    <xf numFmtId="0" fontId="9" fillId="5" borderId="1" xfId="0" applyFont="1" applyFill="1" applyBorder="1" applyAlignment="1">
      <alignment horizontal="center" vertical="center"/>
    </xf>
    <xf numFmtId="0" fontId="9" fillId="5" borderId="2" xfId="0" applyFont="1" applyFill="1" applyBorder="1" applyAlignment="1">
      <alignment horizontal="center" vertical="center"/>
    </xf>
    <xf numFmtId="0" fontId="9" fillId="5" borderId="4" xfId="0" applyFont="1" applyFill="1" applyBorder="1" applyAlignment="1">
      <alignment horizontal="center" vertical="center"/>
    </xf>
    <xf numFmtId="0" fontId="3" fillId="4" borderId="6" xfId="0" applyFont="1" applyFill="1" applyBorder="1" applyAlignment="1">
      <alignment horizontal="left" vertical="center"/>
    </xf>
    <xf numFmtId="0" fontId="3" fillId="4" borderId="7" xfId="0" applyFont="1" applyFill="1" applyBorder="1" applyAlignment="1">
      <alignment horizontal="left" vertical="center"/>
    </xf>
    <xf numFmtId="0" fontId="3" fillId="4" borderId="6" xfId="0" applyFont="1" applyFill="1" applyBorder="1" applyAlignment="1">
      <alignment horizontal="right" vertical="center"/>
    </xf>
    <xf numFmtId="0" fontId="3" fillId="4" borderId="2" xfId="0" applyFont="1" applyFill="1" applyBorder="1" applyAlignment="1">
      <alignment horizontal="center" vertical="center"/>
    </xf>
    <xf numFmtId="0" fontId="9" fillId="5" borderId="1" xfId="0" applyFont="1" applyFill="1" applyBorder="1" applyAlignment="1">
      <alignment horizontal="center"/>
    </xf>
    <xf numFmtId="0" fontId="9" fillId="5" borderId="2" xfId="0" applyFont="1" applyFill="1" applyBorder="1" applyAlignment="1">
      <alignment horizontal="center"/>
    </xf>
    <xf numFmtId="0" fontId="9" fillId="5" borderId="4" xfId="0" applyFont="1" applyFill="1" applyBorder="1" applyAlignment="1">
      <alignment horizontal="center"/>
    </xf>
    <xf numFmtId="0" fontId="2" fillId="4" borderId="1" xfId="0" applyFont="1" applyFill="1" applyBorder="1" applyAlignment="1" applyProtection="1">
      <alignment horizontal="center" vertical="center"/>
      <protection locked="0"/>
    </xf>
    <xf numFmtId="0" fontId="2" fillId="4" borderId="4" xfId="0" applyFont="1" applyFill="1" applyBorder="1" applyAlignment="1" applyProtection="1">
      <alignment horizontal="center" vertical="center"/>
      <protection locked="0"/>
    </xf>
    <xf numFmtId="0" fontId="2" fillId="3" borderId="1" xfId="0" applyFont="1" applyFill="1" applyBorder="1" applyAlignment="1" applyProtection="1">
      <alignment horizontal="center" vertical="center"/>
      <protection locked="0"/>
    </xf>
    <xf numFmtId="0" fontId="2" fillId="3" borderId="4" xfId="0" applyFont="1" applyFill="1" applyBorder="1" applyAlignment="1" applyProtection="1">
      <alignment horizontal="center" vertical="center"/>
      <protection locked="0"/>
    </xf>
    <xf numFmtId="0" fontId="3" fillId="4" borderId="3" xfId="0" applyFont="1" applyFill="1" applyBorder="1" applyAlignment="1">
      <alignment horizontal="left" vertical="center"/>
    </xf>
    <xf numFmtId="0" fontId="3" fillId="4" borderId="1" xfId="0" applyFont="1" applyFill="1" applyBorder="1" applyAlignment="1">
      <alignment horizontal="left" vertical="center"/>
    </xf>
    <xf numFmtId="0" fontId="3" fillId="4" borderId="4" xfId="0" applyFont="1" applyFill="1" applyBorder="1" applyAlignment="1">
      <alignment horizontal="right" vertical="center"/>
    </xf>
    <xf numFmtId="0" fontId="3" fillId="4" borderId="3" xfId="0" applyFont="1" applyFill="1" applyBorder="1" applyAlignment="1">
      <alignment horizontal="right" vertical="center"/>
    </xf>
    <xf numFmtId="0" fontId="3" fillId="4" borderId="1" xfId="0" applyFont="1" applyFill="1" applyBorder="1" applyAlignment="1">
      <alignment horizontal="center" vertical="center"/>
    </xf>
    <xf numFmtId="0" fontId="3" fillId="4" borderId="4" xfId="0" applyFont="1" applyFill="1" applyBorder="1" applyAlignment="1">
      <alignment horizontal="center" vertical="center"/>
    </xf>
    <xf numFmtId="164" fontId="3" fillId="4" borderId="3" xfId="0" applyNumberFormat="1" applyFont="1" applyFill="1" applyBorder="1" applyAlignment="1" applyProtection="1">
      <alignment horizontal="center" vertical="center"/>
      <protection locked="0"/>
    </xf>
    <xf numFmtId="0" fontId="3" fillId="4" borderId="11" xfId="0" applyFont="1" applyFill="1" applyBorder="1" applyAlignment="1">
      <alignment horizontal="left" vertical="center"/>
    </xf>
    <xf numFmtId="0" fontId="3" fillId="4" borderId="12" xfId="0" applyFont="1" applyFill="1" applyBorder="1" applyAlignment="1">
      <alignment horizontal="left" vertical="center"/>
    </xf>
    <xf numFmtId="0" fontId="3" fillId="4" borderId="0" xfId="0" applyFont="1" applyFill="1" applyAlignment="1">
      <alignment horizontal="left" vertical="center"/>
    </xf>
    <xf numFmtId="0" fontId="3" fillId="4" borderId="9" xfId="0" applyFont="1" applyFill="1" applyBorder="1" applyAlignment="1">
      <alignment horizontal="left" vertical="center"/>
    </xf>
    <xf numFmtId="0" fontId="3" fillId="4" borderId="8" xfId="0" applyFont="1" applyFill="1" applyBorder="1" applyAlignment="1">
      <alignment horizontal="right" vertical="center"/>
    </xf>
    <xf numFmtId="0" fontId="3" fillId="4" borderId="0" xfId="0" applyFont="1" applyFill="1" applyAlignment="1">
      <alignment horizontal="right" vertical="center"/>
    </xf>
    <xf numFmtId="0" fontId="3" fillId="4" borderId="11" xfId="0" applyFont="1" applyFill="1" applyBorder="1" applyAlignment="1">
      <alignment horizontal="center" vertical="center"/>
    </xf>
    <xf numFmtId="0" fontId="3" fillId="4" borderId="0" xfId="0" applyFont="1" applyFill="1" applyAlignment="1">
      <alignment horizontal="center" vertical="center"/>
    </xf>
    <xf numFmtId="0" fontId="3" fillId="4" borderId="6" xfId="0" applyFont="1" applyFill="1" applyBorder="1" applyAlignment="1">
      <alignment horizontal="center" vertical="center"/>
    </xf>
    <xf numFmtId="0" fontId="3" fillId="4" borderId="10" xfId="0" applyFont="1" applyFill="1" applyBorder="1" applyAlignment="1">
      <alignment horizontal="right" vertical="center"/>
    </xf>
    <xf numFmtId="0" fontId="3" fillId="4" borderId="11" xfId="0" applyFont="1" applyFill="1" applyBorder="1" applyAlignment="1">
      <alignment horizontal="right" vertical="center"/>
    </xf>
    <xf numFmtId="0" fontId="4" fillId="0" borderId="0" xfId="0" applyFont="1" applyAlignment="1">
      <alignment horizontal="right"/>
    </xf>
    <xf numFmtId="0" fontId="4" fillId="0" borderId="0" xfId="0" applyFont="1" applyAlignment="1">
      <alignment horizontal="right" vertical="center"/>
    </xf>
    <xf numFmtId="0" fontId="5" fillId="0" borderId="0" xfId="0" applyFont="1" applyAlignment="1">
      <alignment horizontal="left" vertical="center"/>
    </xf>
    <xf numFmtId="0" fontId="8" fillId="4" borderId="1" xfId="0" applyFont="1" applyFill="1" applyBorder="1" applyAlignment="1">
      <alignment horizontal="right" vertical="center"/>
    </xf>
    <xf numFmtId="0" fontId="8" fillId="4" borderId="2" xfId="0" applyFont="1" applyFill="1" applyBorder="1" applyAlignment="1">
      <alignment horizontal="right" vertical="center"/>
    </xf>
    <xf numFmtId="0" fontId="11" fillId="0" borderId="0" xfId="0" applyFont="1" applyAlignment="1">
      <alignment horizontal="right" vertical="center"/>
    </xf>
    <xf numFmtId="0" fontId="7" fillId="0" borderId="0" xfId="0" applyFont="1" applyAlignment="1">
      <alignment horizontal="right" vertical="center"/>
    </xf>
    <xf numFmtId="0" fontId="0" fillId="0" borderId="0" xfId="0" applyAlignment="1">
      <alignment horizontal="left" vertical="center" wrapText="1"/>
    </xf>
    <xf numFmtId="0" fontId="2" fillId="3" borderId="1" xfId="0" applyFont="1" applyFill="1" applyBorder="1" applyAlignment="1" applyProtection="1">
      <alignment horizontal="left" vertical="center"/>
      <protection locked="0"/>
    </xf>
    <xf numFmtId="0" fontId="2" fillId="3" borderId="2" xfId="0" applyFont="1" applyFill="1" applyBorder="1" applyAlignment="1" applyProtection="1">
      <alignment horizontal="left" vertical="center"/>
      <protection locked="0"/>
    </xf>
    <xf numFmtId="0" fontId="2" fillId="3" borderId="4" xfId="0" applyFont="1" applyFill="1" applyBorder="1" applyAlignment="1" applyProtection="1">
      <alignment horizontal="left" vertical="center"/>
      <protection locked="0"/>
    </xf>
    <xf numFmtId="0" fontId="2" fillId="4" borderId="1" xfId="0" applyFont="1" applyFill="1" applyBorder="1" applyAlignment="1" applyProtection="1">
      <alignment horizontal="left" vertical="center"/>
      <protection locked="0"/>
    </xf>
    <xf numFmtId="0" fontId="2" fillId="4" borderId="2" xfId="0" applyFont="1" applyFill="1" applyBorder="1" applyAlignment="1" applyProtection="1">
      <alignment horizontal="left" vertical="center"/>
      <protection locked="0"/>
    </xf>
    <xf numFmtId="0" fontId="2" fillId="4" borderId="4" xfId="0" applyFont="1" applyFill="1" applyBorder="1" applyAlignment="1" applyProtection="1">
      <alignment horizontal="left" vertical="center"/>
      <protection locked="0"/>
    </xf>
    <xf numFmtId="0" fontId="2" fillId="0" borderId="0" xfId="0" applyFont="1" applyAlignment="1">
      <alignment horizontal="left" vertical="top" wrapText="1"/>
    </xf>
    <xf numFmtId="8" fontId="3" fillId="4" borderId="11" xfId="0" applyNumberFormat="1" applyFont="1" applyFill="1" applyBorder="1" applyAlignment="1">
      <alignment horizontal="center" vertical="center"/>
    </xf>
    <xf numFmtId="8" fontId="3" fillId="3" borderId="6" xfId="0" applyNumberFormat="1" applyFont="1" applyFill="1" applyBorder="1" applyAlignment="1">
      <alignment horizontal="center" vertical="center"/>
    </xf>
    <xf numFmtId="0" fontId="3" fillId="4" borderId="5" xfId="0" applyFont="1" applyFill="1" applyBorder="1" applyAlignment="1">
      <alignment horizontal="right" vertical="center"/>
    </xf>
    <xf numFmtId="0" fontId="1" fillId="0" borderId="1" xfId="0" applyFont="1" applyBorder="1" applyAlignment="1">
      <alignment horizontal="center"/>
    </xf>
    <xf numFmtId="0" fontId="1" fillId="0" borderId="2" xfId="0" applyFont="1" applyBorder="1" applyAlignment="1">
      <alignment horizontal="center"/>
    </xf>
    <xf numFmtId="0" fontId="1" fillId="0" borderId="4" xfId="0" applyFont="1" applyBorder="1" applyAlignment="1">
      <alignment horizontal="center"/>
    </xf>
    <xf numFmtId="0" fontId="0" fillId="0" borderId="3" xfId="0" applyBorder="1" applyAlignment="1" applyProtection="1">
      <alignment horizontal="center"/>
      <protection locked="0"/>
    </xf>
    <xf numFmtId="0" fontId="1" fillId="0" borderId="11" xfId="0" applyFont="1" applyBorder="1" applyAlignment="1">
      <alignment horizontal="left"/>
    </xf>
    <xf numFmtId="0" fontId="1" fillId="0" borderId="6" xfId="0" applyFont="1" applyBorder="1" applyAlignment="1">
      <alignment horizontal="left"/>
    </xf>
    <xf numFmtId="0" fontId="0" fillId="0" borderId="10" xfId="0" applyBorder="1" applyAlignment="1" applyProtection="1">
      <alignment horizontal="left" vertical="top" wrapText="1"/>
      <protection locked="0"/>
    </xf>
    <xf numFmtId="0" fontId="0" fillId="0" borderId="11" xfId="0" applyBorder="1" applyAlignment="1" applyProtection="1">
      <alignment horizontal="left" vertical="top" wrapText="1"/>
      <protection locked="0"/>
    </xf>
    <xf numFmtId="0" fontId="0" fillId="0" borderId="12" xfId="0" applyBorder="1" applyAlignment="1" applyProtection="1">
      <alignment horizontal="left" vertical="top" wrapText="1"/>
      <protection locked="0"/>
    </xf>
    <xf numFmtId="0" fontId="0" fillId="0" borderId="5" xfId="0" applyBorder="1" applyAlignment="1" applyProtection="1">
      <alignment horizontal="left" vertical="top" wrapText="1"/>
      <protection locked="0"/>
    </xf>
    <xf numFmtId="0" fontId="0" fillId="0" borderId="6" xfId="0" applyBorder="1" applyAlignment="1" applyProtection="1">
      <alignment horizontal="left" vertical="top" wrapText="1"/>
      <protection locked="0"/>
    </xf>
    <xf numFmtId="0" fontId="0" fillId="0" borderId="7" xfId="0" applyBorder="1" applyAlignment="1" applyProtection="1">
      <alignment horizontal="left" vertical="top" wrapText="1"/>
      <protection locked="0"/>
    </xf>
    <xf numFmtId="0" fontId="20" fillId="0" borderId="14" xfId="0" applyFont="1" applyBorder="1" applyAlignment="1">
      <alignment horizontal="center" vertical="center" wrapText="1"/>
    </xf>
    <xf numFmtId="0" fontId="20" fillId="0" borderId="16" xfId="0" applyFont="1" applyBorder="1" applyAlignment="1">
      <alignment horizontal="center" vertical="center" wrapText="1"/>
    </xf>
    <xf numFmtId="0" fontId="20" fillId="0" borderId="18" xfId="0" applyFont="1" applyBorder="1" applyAlignment="1">
      <alignment horizontal="center" vertical="center" wrapText="1"/>
    </xf>
    <xf numFmtId="0" fontId="24" fillId="0" borderId="0" xfId="0" applyFont="1" applyAlignment="1">
      <alignment horizontal="left" vertical="center" wrapText="1"/>
    </xf>
    <xf numFmtId="0" fontId="25" fillId="0" borderId="0" xfId="0" applyFont="1" applyAlignment="1">
      <alignment horizontal="left" vertical="center" wrapText="1"/>
    </xf>
    <xf numFmtId="0" fontId="1" fillId="0" borderId="6" xfId="0" applyFont="1" applyBorder="1" applyAlignment="1" applyProtection="1">
      <alignment horizontal="center"/>
      <protection locked="0"/>
    </xf>
    <xf numFmtId="0" fontId="12" fillId="5" borderId="3" xfId="0" applyFont="1" applyFill="1" applyBorder="1" applyAlignment="1">
      <alignment horizontal="center"/>
    </xf>
    <xf numFmtId="0" fontId="27" fillId="0" borderId="0" xfId="0" applyFont="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twoCellAnchor editAs="oneCell">
    <xdr:from>
      <xdr:col>0</xdr:col>
      <xdr:colOff>92527</xdr:colOff>
      <xdr:row>0</xdr:row>
      <xdr:rowOff>87086</xdr:rowOff>
    </xdr:from>
    <xdr:to>
      <xdr:col>2</xdr:col>
      <xdr:colOff>92527</xdr:colOff>
      <xdr:row>6</xdr:row>
      <xdr:rowOff>17379</xdr:rowOff>
    </xdr:to>
    <xdr:pic>
      <xdr:nvPicPr>
        <xdr:cNvPr id="5" name="Picture 4">
          <a:extLst>
            <a:ext uri="{FF2B5EF4-FFF2-40B4-BE49-F238E27FC236}">
              <a16:creationId xmlns:a16="http://schemas.microsoft.com/office/drawing/2014/main" id="{AD8C4482-A275-4F7C-5660-67685CD16FE1}"/>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92527" y="87086"/>
          <a:ext cx="1055914" cy="1018864"/>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103415</xdr:colOff>
      <xdr:row>0</xdr:row>
      <xdr:rowOff>65314</xdr:rowOff>
    </xdr:from>
    <xdr:to>
      <xdr:col>0</xdr:col>
      <xdr:colOff>774668</xdr:colOff>
      <xdr:row>3</xdr:row>
      <xdr:rowOff>157843</xdr:rowOff>
    </xdr:to>
    <xdr:pic>
      <xdr:nvPicPr>
        <xdr:cNvPr id="2" name="Picture 1">
          <a:extLst>
            <a:ext uri="{FF2B5EF4-FFF2-40B4-BE49-F238E27FC236}">
              <a16:creationId xmlns:a16="http://schemas.microsoft.com/office/drawing/2014/main" id="{35EDC7EA-A62B-4CF6-A838-D867340450A3}"/>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03415" y="65314"/>
          <a:ext cx="671253" cy="64770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0F8F4A-C761-40E8-8051-4D234013F51A}">
  <dimension ref="A1:O60"/>
  <sheetViews>
    <sheetView tabSelected="1" zoomScale="160" zoomScaleNormal="160" workbookViewId="0">
      <selection activeCell="Q5" sqref="Q5"/>
    </sheetView>
  </sheetViews>
  <sheetFormatPr defaultRowHeight="15" x14ac:dyDescent="0.25"/>
  <cols>
    <col min="2" max="2" width="5.7109375" customWidth="1"/>
    <col min="3" max="3" width="7.7109375" customWidth="1"/>
    <col min="4" max="5" width="6.7109375" customWidth="1"/>
    <col min="6" max="7" width="7.7109375" customWidth="1"/>
    <col min="8" max="8" width="0.85546875" customWidth="1"/>
    <col min="10" max="10" width="5.7109375" customWidth="1"/>
    <col min="11" max="11" width="7.7109375" customWidth="1"/>
    <col min="12" max="13" width="6.7109375" customWidth="1"/>
    <col min="14" max="14" width="7.7109375" customWidth="1"/>
  </cols>
  <sheetData>
    <row r="1" spans="1:15" ht="12.95" customHeight="1" x14ac:dyDescent="0.25">
      <c r="I1" s="62"/>
      <c r="J1" s="62"/>
      <c r="K1" s="62"/>
      <c r="L1" s="62"/>
      <c r="M1" s="62"/>
      <c r="N1" s="62"/>
      <c r="O1" s="62"/>
    </row>
    <row r="2" spans="1:15" x14ac:dyDescent="0.25">
      <c r="I2" s="144" t="s">
        <v>108</v>
      </c>
      <c r="J2" s="144"/>
      <c r="K2" s="144"/>
      <c r="L2" s="144"/>
      <c r="M2" s="144"/>
      <c r="N2" s="144"/>
      <c r="O2" s="144"/>
    </row>
    <row r="3" spans="1:15" x14ac:dyDescent="0.25">
      <c r="D3" s="175" t="s">
        <v>107</v>
      </c>
      <c r="E3" s="175"/>
      <c r="F3" s="175"/>
      <c r="G3" s="175"/>
      <c r="H3" s="175"/>
      <c r="I3" s="175"/>
      <c r="J3" s="175"/>
      <c r="K3" s="175"/>
      <c r="L3" s="175"/>
      <c r="M3" s="175"/>
      <c r="N3" s="175"/>
      <c r="O3" s="175"/>
    </row>
    <row r="4" spans="1:15" x14ac:dyDescent="0.25">
      <c r="D4" s="175"/>
      <c r="E4" s="175"/>
      <c r="F4" s="175"/>
      <c r="G4" s="175"/>
      <c r="H4" s="175"/>
      <c r="I4" s="175"/>
      <c r="J4" s="175"/>
      <c r="K4" s="175"/>
      <c r="L4" s="175"/>
      <c r="M4" s="175"/>
      <c r="N4" s="175"/>
      <c r="O4" s="175"/>
    </row>
    <row r="5" spans="1:15" x14ac:dyDescent="0.25">
      <c r="D5" s="175"/>
      <c r="E5" s="175"/>
      <c r="F5" s="175"/>
      <c r="G5" s="175"/>
      <c r="H5" s="175"/>
      <c r="I5" s="175"/>
      <c r="J5" s="175"/>
      <c r="K5" s="175"/>
      <c r="L5" s="175"/>
      <c r="M5" s="175"/>
      <c r="N5" s="175"/>
      <c r="O5" s="175"/>
    </row>
    <row r="6" spans="1:15" x14ac:dyDescent="0.25">
      <c r="D6" s="175"/>
      <c r="E6" s="175"/>
      <c r="F6" s="175"/>
      <c r="G6" s="175"/>
      <c r="H6" s="175"/>
      <c r="I6" s="175"/>
      <c r="J6" s="175"/>
      <c r="K6" s="175"/>
      <c r="L6" s="175"/>
      <c r="M6" s="175"/>
      <c r="N6" s="175"/>
      <c r="O6" s="175"/>
    </row>
    <row r="8" spans="1:15" ht="12.95" customHeight="1" x14ac:dyDescent="0.25">
      <c r="A8" s="156" t="s">
        <v>48</v>
      </c>
      <c r="B8" s="157"/>
      <c r="C8" s="157"/>
      <c r="D8" s="157"/>
      <c r="E8" s="157"/>
      <c r="F8" s="157"/>
      <c r="G8" s="157"/>
      <c r="H8" s="157"/>
      <c r="I8" s="157"/>
      <c r="J8" s="157"/>
      <c r="K8" s="157"/>
      <c r="L8" s="157"/>
      <c r="M8" s="157"/>
      <c r="N8" s="157"/>
      <c r="O8" s="158"/>
    </row>
    <row r="9" spans="1:15" ht="5.0999999999999996" customHeight="1" x14ac:dyDescent="0.25"/>
    <row r="10" spans="1:15" ht="12.95" customHeight="1" x14ac:dyDescent="0.25">
      <c r="A10" s="138" t="s">
        <v>50</v>
      </c>
      <c r="B10" s="138"/>
      <c r="C10" s="138"/>
      <c r="D10" s="140" t="s">
        <v>99</v>
      </c>
      <c r="E10" s="140"/>
      <c r="F10" s="140"/>
      <c r="G10" s="140"/>
      <c r="H10" s="140"/>
      <c r="I10" s="139" t="s">
        <v>51</v>
      </c>
      <c r="J10" s="139"/>
      <c r="K10" s="139"/>
      <c r="L10" s="140" t="s">
        <v>100</v>
      </c>
      <c r="M10" s="140"/>
      <c r="N10" s="140"/>
      <c r="O10" s="140"/>
    </row>
    <row r="11" spans="1:15" ht="5.0999999999999996" customHeight="1" x14ac:dyDescent="0.25"/>
    <row r="12" spans="1:15" ht="12.95" customHeight="1" x14ac:dyDescent="0.25">
      <c r="A12" s="138" t="s">
        <v>49</v>
      </c>
      <c r="B12" s="138"/>
      <c r="C12" s="138"/>
      <c r="D12" s="140" t="s">
        <v>106</v>
      </c>
      <c r="E12" s="140"/>
      <c r="F12" s="140"/>
      <c r="G12" s="140"/>
      <c r="H12" s="140"/>
      <c r="I12" s="140"/>
      <c r="J12" s="140"/>
      <c r="K12" s="140"/>
      <c r="L12" s="140"/>
      <c r="M12" s="140"/>
      <c r="N12" s="140"/>
    </row>
    <row r="13" spans="1:15" ht="5.0999999999999996" customHeight="1" x14ac:dyDescent="0.25"/>
    <row r="14" spans="1:15" ht="12.95" customHeight="1" x14ac:dyDescent="0.25">
      <c r="A14" s="106" t="s">
        <v>12</v>
      </c>
      <c r="B14" s="107"/>
      <c r="C14" s="107"/>
      <c r="D14" s="107"/>
      <c r="E14" s="107"/>
      <c r="F14" s="107"/>
      <c r="G14" s="107"/>
      <c r="H14" s="107"/>
      <c r="I14" s="107"/>
      <c r="J14" s="107"/>
      <c r="K14" s="107"/>
      <c r="L14" s="107"/>
      <c r="M14" s="107"/>
      <c r="N14" s="107"/>
      <c r="O14" s="108"/>
    </row>
    <row r="15" spans="1:15" ht="12.95" customHeight="1" x14ac:dyDescent="0.25">
      <c r="A15" s="136" t="s">
        <v>13</v>
      </c>
      <c r="B15" s="137"/>
      <c r="C15" s="137"/>
      <c r="D15" s="133" t="s">
        <v>14</v>
      </c>
      <c r="E15" s="133"/>
      <c r="F15" s="133"/>
      <c r="G15" s="53"/>
      <c r="H15" s="53"/>
      <c r="I15" s="127" t="s">
        <v>46</v>
      </c>
      <c r="J15" s="127"/>
      <c r="K15" s="127"/>
      <c r="L15" s="127"/>
      <c r="M15" s="127"/>
      <c r="N15" s="127"/>
      <c r="O15" s="128"/>
    </row>
    <row r="16" spans="1:15" ht="12.95" customHeight="1" x14ac:dyDescent="0.25">
      <c r="A16" s="131" t="s">
        <v>15</v>
      </c>
      <c r="B16" s="132"/>
      <c r="C16" s="132"/>
      <c r="D16" s="134" t="s">
        <v>16</v>
      </c>
      <c r="E16" s="134"/>
      <c r="F16" s="134"/>
      <c r="G16" s="54"/>
      <c r="H16" s="54"/>
      <c r="I16" s="129" t="s">
        <v>47</v>
      </c>
      <c r="J16" s="129"/>
      <c r="K16" s="129"/>
      <c r="L16" s="129"/>
      <c r="M16" s="129"/>
      <c r="N16" s="129"/>
      <c r="O16" s="130"/>
    </row>
    <row r="17" spans="1:15" ht="12.95" customHeight="1" x14ac:dyDescent="0.25">
      <c r="A17" s="131" t="s">
        <v>17</v>
      </c>
      <c r="B17" s="132"/>
      <c r="C17" s="132"/>
      <c r="D17" s="134" t="s">
        <v>18</v>
      </c>
      <c r="E17" s="134"/>
      <c r="F17" s="134"/>
      <c r="G17" s="54"/>
      <c r="H17" s="54"/>
      <c r="I17" s="129" t="s">
        <v>19</v>
      </c>
      <c r="J17" s="129"/>
      <c r="K17" s="129"/>
      <c r="L17" s="129"/>
      <c r="M17" s="129"/>
      <c r="N17" s="129"/>
      <c r="O17" s="130"/>
    </row>
    <row r="18" spans="1:15" ht="12.95" customHeight="1" x14ac:dyDescent="0.25">
      <c r="A18" s="131" t="s">
        <v>7</v>
      </c>
      <c r="B18" s="132"/>
      <c r="C18" s="132"/>
      <c r="D18" s="134" t="s">
        <v>20</v>
      </c>
      <c r="E18" s="134"/>
      <c r="F18" s="134"/>
      <c r="G18" s="54"/>
      <c r="H18" s="54"/>
      <c r="I18" s="129" t="s">
        <v>21</v>
      </c>
      <c r="J18" s="129"/>
      <c r="K18" s="129"/>
      <c r="L18" s="129"/>
      <c r="M18" s="129"/>
      <c r="N18" s="129"/>
      <c r="O18" s="130"/>
    </row>
    <row r="19" spans="1:15" ht="12.95" customHeight="1" x14ac:dyDescent="0.25">
      <c r="A19" s="131" t="s">
        <v>22</v>
      </c>
      <c r="B19" s="132"/>
      <c r="C19" s="132"/>
      <c r="D19" s="134" t="s">
        <v>23</v>
      </c>
      <c r="E19" s="134"/>
      <c r="F19" s="134"/>
      <c r="G19" s="54"/>
      <c r="H19" s="54"/>
      <c r="I19" s="129" t="s">
        <v>24</v>
      </c>
      <c r="J19" s="129"/>
      <c r="K19" s="129"/>
      <c r="L19" s="129"/>
      <c r="M19" s="129"/>
      <c r="N19" s="129"/>
      <c r="O19" s="130"/>
    </row>
    <row r="20" spans="1:15" ht="12.95" customHeight="1" x14ac:dyDescent="0.25">
      <c r="A20" s="131" t="s">
        <v>25</v>
      </c>
      <c r="B20" s="132"/>
      <c r="C20" s="132"/>
      <c r="D20" s="134" t="s">
        <v>26</v>
      </c>
      <c r="E20" s="134"/>
      <c r="F20" s="134"/>
      <c r="G20" s="54"/>
      <c r="H20" s="54"/>
      <c r="I20" s="129" t="s">
        <v>27</v>
      </c>
      <c r="J20" s="129"/>
      <c r="K20" s="129"/>
      <c r="L20" s="129"/>
      <c r="M20" s="129"/>
      <c r="N20" s="129"/>
      <c r="O20" s="130"/>
    </row>
    <row r="21" spans="1:15" ht="12.95" customHeight="1" x14ac:dyDescent="0.25">
      <c r="A21" s="155" t="s">
        <v>28</v>
      </c>
      <c r="B21" s="111"/>
      <c r="C21" s="111"/>
      <c r="D21" s="135" t="s">
        <v>29</v>
      </c>
      <c r="E21" s="135"/>
      <c r="F21" s="135"/>
      <c r="G21" s="55"/>
      <c r="H21" s="55"/>
      <c r="I21" s="109" t="s">
        <v>30</v>
      </c>
      <c r="J21" s="109"/>
      <c r="K21" s="109"/>
      <c r="L21" s="109"/>
      <c r="M21" s="109"/>
      <c r="N21" s="109"/>
      <c r="O21" s="110"/>
    </row>
    <row r="22" spans="1:15" ht="5.0999999999999996" customHeight="1" x14ac:dyDescent="0.25"/>
    <row r="23" spans="1:15" ht="12.95" customHeight="1" x14ac:dyDescent="0.25">
      <c r="A23" s="106" t="s">
        <v>7</v>
      </c>
      <c r="B23" s="107"/>
      <c r="C23" s="107"/>
      <c r="D23" s="107"/>
      <c r="E23" s="107"/>
      <c r="F23" s="107"/>
      <c r="G23" s="107"/>
      <c r="H23" s="107"/>
      <c r="I23" s="107"/>
      <c r="J23" s="107"/>
      <c r="K23" s="107"/>
      <c r="L23" s="107"/>
      <c r="M23" s="107"/>
      <c r="N23" s="107"/>
      <c r="O23" s="108"/>
    </row>
    <row r="24" spans="1:15" ht="12.95" customHeight="1" x14ac:dyDescent="0.25">
      <c r="A24" s="48">
        <v>46083</v>
      </c>
      <c r="B24" s="49" t="s">
        <v>8</v>
      </c>
      <c r="C24" s="149" t="s">
        <v>101</v>
      </c>
      <c r="D24" s="150"/>
      <c r="E24" s="150"/>
      <c r="F24" s="150"/>
      <c r="G24" s="150"/>
      <c r="H24" s="151"/>
      <c r="I24" s="116">
        <v>6</v>
      </c>
      <c r="J24" s="117"/>
      <c r="K24" s="50" t="s">
        <v>1</v>
      </c>
      <c r="L24" s="153">
        <v>100</v>
      </c>
      <c r="M24" s="153"/>
      <c r="N24" s="50" t="s">
        <v>9</v>
      </c>
      <c r="O24" s="51">
        <f>SUM(I24*L24)</f>
        <v>600</v>
      </c>
    </row>
    <row r="25" spans="1:15" ht="12.95" customHeight="1" x14ac:dyDescent="0.25">
      <c r="A25" s="43"/>
      <c r="B25" s="44" t="s">
        <v>10</v>
      </c>
      <c r="C25" s="146" t="str">
        <f>L10</f>
        <v>NEENAH, WI</v>
      </c>
      <c r="D25" s="147"/>
      <c r="E25" s="147"/>
      <c r="F25" s="147"/>
      <c r="G25" s="147"/>
      <c r="H25" s="148"/>
      <c r="I25" s="118"/>
      <c r="J25" s="119"/>
      <c r="K25" s="45" t="s">
        <v>1</v>
      </c>
      <c r="L25" s="154">
        <v>150</v>
      </c>
      <c r="M25" s="154"/>
      <c r="N25" s="45" t="s">
        <v>9</v>
      </c>
      <c r="O25" s="46">
        <f>SUM(I25*L25)</f>
        <v>0</v>
      </c>
    </row>
    <row r="26" spans="1:15" ht="12.95" customHeight="1" x14ac:dyDescent="0.25">
      <c r="A26" s="48">
        <v>46086</v>
      </c>
      <c r="B26" s="49" t="s">
        <v>8</v>
      </c>
      <c r="C26" s="149" t="str">
        <f>C25</f>
        <v>NEENAH, WI</v>
      </c>
      <c r="D26" s="150"/>
      <c r="E26" s="150"/>
      <c r="F26" s="150"/>
      <c r="G26" s="150"/>
      <c r="H26" s="151"/>
      <c r="I26" s="116">
        <v>6</v>
      </c>
      <c r="J26" s="117"/>
      <c r="K26" s="50" t="s">
        <v>1</v>
      </c>
      <c r="L26" s="153">
        <v>100</v>
      </c>
      <c r="M26" s="153"/>
      <c r="N26" s="50" t="s">
        <v>9</v>
      </c>
      <c r="O26" s="51">
        <f>SUM(I26*L26)</f>
        <v>600</v>
      </c>
    </row>
    <row r="27" spans="1:15" ht="12.95" customHeight="1" x14ac:dyDescent="0.25">
      <c r="A27" s="47"/>
      <c r="B27" s="44" t="s">
        <v>10</v>
      </c>
      <c r="C27" s="146" t="s">
        <v>101</v>
      </c>
      <c r="D27" s="147"/>
      <c r="E27" s="147"/>
      <c r="F27" s="147"/>
      <c r="G27" s="147"/>
      <c r="H27" s="148"/>
      <c r="I27" s="118"/>
      <c r="J27" s="119"/>
      <c r="K27" s="45" t="s">
        <v>1</v>
      </c>
      <c r="L27" s="154">
        <v>150</v>
      </c>
      <c r="M27" s="154"/>
      <c r="N27" s="45" t="s">
        <v>9</v>
      </c>
      <c r="O27" s="46">
        <f>SUM(I27*L27)</f>
        <v>0</v>
      </c>
    </row>
    <row r="28" spans="1:15" ht="12.95" customHeight="1" x14ac:dyDescent="0.25">
      <c r="A28" s="11"/>
      <c r="B28" s="12"/>
      <c r="C28" s="13"/>
      <c r="D28" s="12"/>
      <c r="E28" s="14"/>
      <c r="F28" s="103" t="s">
        <v>52</v>
      </c>
      <c r="G28" s="103"/>
      <c r="H28" s="30"/>
      <c r="I28" s="112">
        <f>SUM(I24:I27)</f>
        <v>12</v>
      </c>
      <c r="J28" s="112"/>
      <c r="K28" s="103" t="s">
        <v>11</v>
      </c>
      <c r="L28" s="103"/>
      <c r="M28" s="103"/>
      <c r="N28" s="22" t="s">
        <v>9</v>
      </c>
      <c r="O28" s="52">
        <f>SUM(O24:O27)</f>
        <v>1200</v>
      </c>
    </row>
    <row r="29" spans="1:15" ht="5.0999999999999996" customHeight="1" x14ac:dyDescent="0.25">
      <c r="A29" s="1"/>
      <c r="B29" s="2"/>
      <c r="C29" s="3"/>
      <c r="D29" s="2"/>
      <c r="E29" s="2"/>
      <c r="F29" s="2"/>
      <c r="G29" s="2"/>
      <c r="H29" s="2"/>
      <c r="I29" s="2"/>
      <c r="J29" s="4"/>
      <c r="K29" s="2"/>
      <c r="L29" s="2"/>
      <c r="M29" s="2"/>
      <c r="N29" s="4"/>
      <c r="O29" s="5"/>
    </row>
    <row r="30" spans="1:15" ht="12.95" customHeight="1" x14ac:dyDescent="0.25">
      <c r="A30" s="113" t="s">
        <v>103</v>
      </c>
      <c r="B30" s="114"/>
      <c r="C30" s="114"/>
      <c r="D30" s="114"/>
      <c r="E30" s="114"/>
      <c r="F30" s="114"/>
      <c r="G30" s="115"/>
      <c r="H30" s="6"/>
      <c r="I30" s="113" t="s">
        <v>104</v>
      </c>
      <c r="J30" s="114"/>
      <c r="K30" s="114"/>
      <c r="L30" s="114"/>
      <c r="M30" s="114"/>
      <c r="N30" s="114"/>
      <c r="O30" s="115"/>
    </row>
    <row r="31" spans="1:15" ht="12.95" customHeight="1" x14ac:dyDescent="0.25">
      <c r="A31" s="21">
        <v>46082</v>
      </c>
      <c r="B31" s="22" t="s">
        <v>31</v>
      </c>
      <c r="C31" s="23" t="s">
        <v>0</v>
      </c>
      <c r="D31" s="24"/>
      <c r="E31" s="25" t="s">
        <v>1</v>
      </c>
      <c r="F31" s="26">
        <v>320</v>
      </c>
      <c r="G31" s="27">
        <f t="shared" ref="G31:G42" si="0">D31*F31</f>
        <v>0</v>
      </c>
      <c r="H31" s="7"/>
      <c r="I31" s="21">
        <v>45711</v>
      </c>
      <c r="J31" s="22" t="s">
        <v>31</v>
      </c>
      <c r="K31" s="23" t="s">
        <v>0</v>
      </c>
      <c r="L31" s="24"/>
      <c r="M31" s="25" t="s">
        <v>1</v>
      </c>
      <c r="N31" s="26">
        <v>320</v>
      </c>
      <c r="O31" s="27">
        <f t="shared" ref="O31:O42" si="1">L31*N31</f>
        <v>0</v>
      </c>
    </row>
    <row r="32" spans="1:15" ht="12.95" customHeight="1" x14ac:dyDescent="0.25">
      <c r="A32" s="28">
        <f>A31+1</f>
        <v>46083</v>
      </c>
      <c r="B32" s="15" t="s">
        <v>32</v>
      </c>
      <c r="C32" s="16" t="s">
        <v>2</v>
      </c>
      <c r="D32" s="17"/>
      <c r="E32" s="18" t="s">
        <v>1</v>
      </c>
      <c r="F32" s="19">
        <v>160</v>
      </c>
      <c r="G32" s="20">
        <f t="shared" si="0"/>
        <v>0</v>
      </c>
      <c r="H32" s="7"/>
      <c r="I32" s="28">
        <f>I31+1</f>
        <v>45712</v>
      </c>
      <c r="J32" s="15" t="s">
        <v>32</v>
      </c>
      <c r="K32" s="16" t="s">
        <v>2</v>
      </c>
      <c r="L32" s="17"/>
      <c r="M32" s="18" t="s">
        <v>1</v>
      </c>
      <c r="N32" s="19">
        <v>160</v>
      </c>
      <c r="O32" s="20">
        <f t="shared" si="1"/>
        <v>0</v>
      </c>
    </row>
    <row r="33" spans="1:15" ht="12.95" customHeight="1" x14ac:dyDescent="0.25">
      <c r="A33" s="29"/>
      <c r="B33" s="22"/>
      <c r="C33" s="23" t="s">
        <v>3</v>
      </c>
      <c r="D33" s="24"/>
      <c r="E33" s="25" t="s">
        <v>1</v>
      </c>
      <c r="F33" s="26">
        <v>240</v>
      </c>
      <c r="G33" s="27">
        <f t="shared" si="0"/>
        <v>0</v>
      </c>
      <c r="H33" s="7"/>
      <c r="I33" s="29"/>
      <c r="J33" s="22"/>
      <c r="K33" s="23" t="s">
        <v>3</v>
      </c>
      <c r="L33" s="24"/>
      <c r="M33" s="25" t="s">
        <v>1</v>
      </c>
      <c r="N33" s="26">
        <v>240</v>
      </c>
      <c r="O33" s="27">
        <f t="shared" si="1"/>
        <v>0</v>
      </c>
    </row>
    <row r="34" spans="1:15" ht="12.95" customHeight="1" x14ac:dyDescent="0.25">
      <c r="A34" s="28">
        <f>A31+2</f>
        <v>46084</v>
      </c>
      <c r="B34" s="15" t="s">
        <v>33</v>
      </c>
      <c r="C34" s="16" t="s">
        <v>2</v>
      </c>
      <c r="D34" s="17" t="s">
        <v>102</v>
      </c>
      <c r="E34" s="18" t="s">
        <v>1</v>
      </c>
      <c r="F34" s="19">
        <v>160</v>
      </c>
      <c r="G34" s="20">
        <v>0</v>
      </c>
      <c r="H34" s="7"/>
      <c r="I34" s="28">
        <f>I31+2</f>
        <v>45713</v>
      </c>
      <c r="J34" s="15" t="s">
        <v>33</v>
      </c>
      <c r="K34" s="16" t="s">
        <v>2</v>
      </c>
      <c r="L34" s="17">
        <v>8</v>
      </c>
      <c r="M34" s="18" t="s">
        <v>1</v>
      </c>
      <c r="N34" s="19">
        <v>160</v>
      </c>
      <c r="O34" s="27">
        <f t="shared" si="1"/>
        <v>1280</v>
      </c>
    </row>
    <row r="35" spans="1:15" ht="12.95" customHeight="1" x14ac:dyDescent="0.25">
      <c r="A35" s="29"/>
      <c r="B35" s="22"/>
      <c r="C35" s="23" t="s">
        <v>3</v>
      </c>
      <c r="D35" s="24">
        <v>4</v>
      </c>
      <c r="E35" s="25" t="s">
        <v>1</v>
      </c>
      <c r="F35" s="26">
        <v>240</v>
      </c>
      <c r="G35" s="27">
        <f t="shared" si="0"/>
        <v>960</v>
      </c>
      <c r="H35" s="7"/>
      <c r="I35" s="29"/>
      <c r="J35" s="22"/>
      <c r="K35" s="23" t="s">
        <v>3</v>
      </c>
      <c r="L35" s="24">
        <v>4</v>
      </c>
      <c r="M35" s="25" t="s">
        <v>1</v>
      </c>
      <c r="N35" s="26">
        <v>240</v>
      </c>
      <c r="O35" s="27">
        <f t="shared" si="1"/>
        <v>960</v>
      </c>
    </row>
    <row r="36" spans="1:15" ht="12.95" customHeight="1" x14ac:dyDescent="0.25">
      <c r="A36" s="37">
        <f>A31+3</f>
        <v>46085</v>
      </c>
      <c r="B36" s="38" t="s">
        <v>34</v>
      </c>
      <c r="C36" s="39" t="s">
        <v>2</v>
      </c>
      <c r="D36" s="40">
        <v>8</v>
      </c>
      <c r="E36" s="18" t="s">
        <v>1</v>
      </c>
      <c r="F36" s="19">
        <v>160</v>
      </c>
      <c r="G36" s="20">
        <f t="shared" si="0"/>
        <v>1280</v>
      </c>
      <c r="H36" s="7"/>
      <c r="I36" s="37">
        <f>I31+3</f>
        <v>45714</v>
      </c>
      <c r="J36" s="38" t="s">
        <v>34</v>
      </c>
      <c r="K36" s="39" t="s">
        <v>2</v>
      </c>
      <c r="L36" s="40">
        <v>8</v>
      </c>
      <c r="M36" s="18" t="s">
        <v>1</v>
      </c>
      <c r="N36" s="19">
        <v>160</v>
      </c>
      <c r="O36" s="20">
        <f t="shared" si="1"/>
        <v>1280</v>
      </c>
    </row>
    <row r="37" spans="1:15" ht="12.95" customHeight="1" x14ac:dyDescent="0.25">
      <c r="A37" s="29"/>
      <c r="B37" s="22"/>
      <c r="C37" s="23" t="s">
        <v>3</v>
      </c>
      <c r="D37" s="24">
        <v>4</v>
      </c>
      <c r="E37" s="25" t="s">
        <v>1</v>
      </c>
      <c r="F37" s="26">
        <v>240</v>
      </c>
      <c r="G37" s="27">
        <f t="shared" si="0"/>
        <v>960</v>
      </c>
      <c r="H37" s="7"/>
      <c r="I37" s="29"/>
      <c r="J37" s="22"/>
      <c r="K37" s="23" t="s">
        <v>3</v>
      </c>
      <c r="L37" s="24">
        <v>4</v>
      </c>
      <c r="M37" s="25" t="s">
        <v>1</v>
      </c>
      <c r="N37" s="26">
        <v>240</v>
      </c>
      <c r="O37" s="27">
        <f t="shared" si="1"/>
        <v>960</v>
      </c>
    </row>
    <row r="38" spans="1:15" ht="12.95" customHeight="1" x14ac:dyDescent="0.25">
      <c r="A38" s="28">
        <f>A31+4</f>
        <v>46086</v>
      </c>
      <c r="B38" s="15" t="s">
        <v>35</v>
      </c>
      <c r="C38" s="16" t="s">
        <v>2</v>
      </c>
      <c r="D38" s="17">
        <v>6</v>
      </c>
      <c r="E38" s="18" t="s">
        <v>1</v>
      </c>
      <c r="F38" s="19">
        <v>160</v>
      </c>
      <c r="G38" s="20">
        <f t="shared" si="0"/>
        <v>960</v>
      </c>
      <c r="H38" s="7"/>
      <c r="I38" s="28">
        <f>I31+4</f>
        <v>45715</v>
      </c>
      <c r="J38" s="15" t="s">
        <v>35</v>
      </c>
      <c r="K38" s="16" t="s">
        <v>2</v>
      </c>
      <c r="L38" s="17">
        <v>6</v>
      </c>
      <c r="M38" s="18" t="s">
        <v>1</v>
      </c>
      <c r="N38" s="19">
        <v>160</v>
      </c>
      <c r="O38" s="20">
        <f t="shared" si="1"/>
        <v>960</v>
      </c>
    </row>
    <row r="39" spans="1:15" ht="12.95" customHeight="1" x14ac:dyDescent="0.25">
      <c r="A39" s="29"/>
      <c r="B39" s="22"/>
      <c r="C39" s="23" t="s">
        <v>3</v>
      </c>
      <c r="D39" s="24"/>
      <c r="E39" s="25" t="s">
        <v>1</v>
      </c>
      <c r="F39" s="26">
        <v>240</v>
      </c>
      <c r="G39" s="27">
        <f t="shared" si="0"/>
        <v>0</v>
      </c>
      <c r="H39" s="7"/>
      <c r="I39" s="29"/>
      <c r="J39" s="22"/>
      <c r="K39" s="23" t="s">
        <v>3</v>
      </c>
      <c r="L39" s="24"/>
      <c r="M39" s="25" t="s">
        <v>1</v>
      </c>
      <c r="N39" s="26">
        <v>240</v>
      </c>
      <c r="O39" s="27">
        <f t="shared" si="1"/>
        <v>0</v>
      </c>
    </row>
    <row r="40" spans="1:15" ht="12.95" customHeight="1" x14ac:dyDescent="0.25">
      <c r="A40" s="28">
        <f>A31+5</f>
        <v>46087</v>
      </c>
      <c r="B40" s="15" t="s">
        <v>36</v>
      </c>
      <c r="C40" s="16" t="s">
        <v>2</v>
      </c>
      <c r="D40" s="17"/>
      <c r="E40" s="18" t="s">
        <v>1</v>
      </c>
      <c r="F40" s="19">
        <v>160</v>
      </c>
      <c r="G40" s="20">
        <f t="shared" si="0"/>
        <v>0</v>
      </c>
      <c r="H40" s="7"/>
      <c r="I40" s="28">
        <f>I31+5</f>
        <v>45716</v>
      </c>
      <c r="J40" s="15" t="s">
        <v>36</v>
      </c>
      <c r="K40" s="16" t="s">
        <v>2</v>
      </c>
      <c r="L40" s="17"/>
      <c r="M40" s="18" t="s">
        <v>1</v>
      </c>
      <c r="N40" s="19">
        <v>160</v>
      </c>
      <c r="O40" s="20">
        <f t="shared" si="1"/>
        <v>0</v>
      </c>
    </row>
    <row r="41" spans="1:15" ht="12.95" customHeight="1" x14ac:dyDescent="0.25">
      <c r="A41" s="29"/>
      <c r="B41" s="22"/>
      <c r="C41" s="23" t="s">
        <v>3</v>
      </c>
      <c r="D41" s="24"/>
      <c r="E41" s="25" t="s">
        <v>1</v>
      </c>
      <c r="F41" s="26">
        <v>240</v>
      </c>
      <c r="G41" s="27">
        <f t="shared" si="0"/>
        <v>0</v>
      </c>
      <c r="H41" s="7"/>
      <c r="I41" s="29"/>
      <c r="J41" s="22"/>
      <c r="K41" s="23" t="s">
        <v>3</v>
      </c>
      <c r="L41" s="24"/>
      <c r="M41" s="25" t="s">
        <v>1</v>
      </c>
      <c r="N41" s="26">
        <v>240</v>
      </c>
      <c r="O41" s="27">
        <f t="shared" si="1"/>
        <v>0</v>
      </c>
    </row>
    <row r="42" spans="1:15" ht="12.95" customHeight="1" x14ac:dyDescent="0.25">
      <c r="A42" s="28">
        <f>A31+6</f>
        <v>46088</v>
      </c>
      <c r="B42" s="15" t="s">
        <v>37</v>
      </c>
      <c r="C42" s="16" t="s">
        <v>3</v>
      </c>
      <c r="D42" s="17"/>
      <c r="E42" s="18" t="s">
        <v>1</v>
      </c>
      <c r="F42" s="19">
        <v>240</v>
      </c>
      <c r="G42" s="20">
        <f t="shared" si="0"/>
        <v>0</v>
      </c>
      <c r="H42" s="7"/>
      <c r="I42" s="28">
        <f>I31+6</f>
        <v>45717</v>
      </c>
      <c r="J42" s="15" t="s">
        <v>37</v>
      </c>
      <c r="K42" s="16" t="s">
        <v>3</v>
      </c>
      <c r="L42" s="17"/>
      <c r="M42" s="18" t="s">
        <v>1</v>
      </c>
      <c r="N42" s="19">
        <v>240</v>
      </c>
      <c r="O42" s="20">
        <f t="shared" si="1"/>
        <v>0</v>
      </c>
    </row>
    <row r="43" spans="1:15" ht="12.95" customHeight="1" x14ac:dyDescent="0.25">
      <c r="A43" s="32"/>
      <c r="B43" s="111" t="s">
        <v>4</v>
      </c>
      <c r="C43" s="111"/>
      <c r="D43" s="31">
        <f>SUM(D31:D42)</f>
        <v>22</v>
      </c>
      <c r="E43" s="102" t="s">
        <v>6</v>
      </c>
      <c r="F43" s="103"/>
      <c r="G43" s="69">
        <f>SUM(G31:G42)</f>
        <v>4160</v>
      </c>
      <c r="H43" s="8"/>
      <c r="I43" s="32"/>
      <c r="J43" s="111" t="s">
        <v>5</v>
      </c>
      <c r="K43" s="111"/>
      <c r="L43" s="31">
        <f>SUM(L31:L42)</f>
        <v>30</v>
      </c>
      <c r="M43" s="103" t="s">
        <v>6</v>
      </c>
      <c r="N43" s="103"/>
      <c r="O43" s="33">
        <f>SUM(O31:O42)</f>
        <v>5440</v>
      </c>
    </row>
    <row r="44" spans="1:15" ht="5.0999999999999996" customHeight="1" x14ac:dyDescent="0.25"/>
    <row r="45" spans="1:15" ht="12.95" customHeight="1" x14ac:dyDescent="0.25">
      <c r="A45" s="106" t="s">
        <v>95</v>
      </c>
      <c r="B45" s="107"/>
      <c r="C45" s="107"/>
      <c r="D45" s="107"/>
      <c r="E45" s="107"/>
      <c r="F45" s="107"/>
      <c r="G45" s="108"/>
      <c r="H45" s="10"/>
      <c r="I45" s="106" t="s">
        <v>96</v>
      </c>
      <c r="J45" s="107"/>
      <c r="K45" s="107"/>
      <c r="L45" s="107"/>
      <c r="M45" s="107"/>
      <c r="N45" s="107"/>
      <c r="O45" s="108"/>
    </row>
    <row r="46" spans="1:15" ht="12.95" customHeight="1" x14ac:dyDescent="0.25">
      <c r="A46" s="124" t="s">
        <v>44</v>
      </c>
      <c r="B46" s="125"/>
      <c r="C46" s="34" t="s">
        <v>2</v>
      </c>
      <c r="D46" s="35"/>
      <c r="E46" s="25" t="s">
        <v>1</v>
      </c>
      <c r="F46" s="26">
        <v>160</v>
      </c>
      <c r="G46" s="68">
        <f>D46*F46</f>
        <v>0</v>
      </c>
      <c r="H46" s="9"/>
      <c r="I46" s="126" t="s">
        <v>45</v>
      </c>
      <c r="J46" s="126"/>
      <c r="K46" s="23" t="s">
        <v>2</v>
      </c>
      <c r="L46" s="58"/>
      <c r="M46" s="36" t="s">
        <v>1</v>
      </c>
      <c r="N46" s="26">
        <v>160</v>
      </c>
      <c r="O46" s="66">
        <f>L46*N46</f>
        <v>0</v>
      </c>
    </row>
    <row r="47" spans="1:15" ht="5.0999999999999996" customHeight="1" x14ac:dyDescent="0.25"/>
    <row r="48" spans="1:15" ht="12.95" customHeight="1" x14ac:dyDescent="0.25">
      <c r="A48" s="101" t="s">
        <v>28</v>
      </c>
      <c r="B48" s="101"/>
      <c r="C48" s="101"/>
      <c r="D48" s="101"/>
      <c r="E48" s="101"/>
      <c r="F48" s="101"/>
      <c r="G48" s="101"/>
      <c r="H48" s="101"/>
      <c r="I48" s="101"/>
      <c r="J48" s="101"/>
      <c r="K48" s="101"/>
      <c r="L48" s="101"/>
      <c r="M48" s="101"/>
      <c r="N48" s="101"/>
      <c r="O48" s="101"/>
    </row>
    <row r="49" spans="1:15" ht="12.95" customHeight="1" x14ac:dyDescent="0.25">
      <c r="A49" s="120" t="s">
        <v>38</v>
      </c>
      <c r="B49" s="120"/>
      <c r="C49" s="120"/>
      <c r="D49" s="120"/>
      <c r="E49" s="120"/>
      <c r="F49" s="120"/>
      <c r="G49" s="120"/>
      <c r="H49" s="120"/>
      <c r="I49" s="120"/>
      <c r="J49" s="121"/>
      <c r="K49" s="122" t="s">
        <v>39</v>
      </c>
      <c r="L49" s="123"/>
      <c r="M49" s="102"/>
      <c r="N49" s="22" t="s">
        <v>9</v>
      </c>
      <c r="O49" s="41">
        <v>2500</v>
      </c>
    </row>
    <row r="50" spans="1:15" ht="5.0999999999999996" customHeight="1" x14ac:dyDescent="0.25"/>
    <row r="51" spans="1:15" ht="12.95" customHeight="1" x14ac:dyDescent="0.25">
      <c r="A51" s="63" t="s">
        <v>53</v>
      </c>
      <c r="B51" s="145"/>
      <c r="C51" s="145"/>
      <c r="D51" s="145"/>
      <c r="E51" s="145"/>
      <c r="F51" s="145"/>
      <c r="G51" s="145"/>
      <c r="J51" s="104" t="s">
        <v>11</v>
      </c>
      <c r="K51" s="105"/>
      <c r="L51" s="105"/>
      <c r="M51" s="105"/>
      <c r="N51" s="60" t="s">
        <v>9</v>
      </c>
      <c r="O51" s="66">
        <f>O28</f>
        <v>1200</v>
      </c>
    </row>
    <row r="52" spans="1:15" ht="12.95" customHeight="1" x14ac:dyDescent="0.25">
      <c r="B52" s="145"/>
      <c r="C52" s="145"/>
      <c r="D52" s="145"/>
      <c r="E52" s="145"/>
      <c r="F52" s="145"/>
      <c r="G52" s="145"/>
      <c r="H52" s="56"/>
      <c r="I52" s="57"/>
      <c r="J52" s="104" t="s">
        <v>97</v>
      </c>
      <c r="K52" s="105"/>
      <c r="L52" s="105"/>
      <c r="M52" s="105"/>
      <c r="N52" s="60" t="s">
        <v>9</v>
      </c>
      <c r="O52" s="66">
        <f>G43</f>
        <v>4160</v>
      </c>
    </row>
    <row r="53" spans="1:15" ht="12.95" customHeight="1" x14ac:dyDescent="0.25">
      <c r="A53" s="152" t="s">
        <v>54</v>
      </c>
      <c r="B53" s="152"/>
      <c r="C53" s="152"/>
      <c r="D53" s="152"/>
      <c r="E53" s="152"/>
      <c r="F53" s="152"/>
      <c r="G53" s="152"/>
      <c r="H53" s="56"/>
      <c r="I53" s="57"/>
      <c r="J53" s="104" t="s">
        <v>98</v>
      </c>
      <c r="K53" s="105"/>
      <c r="L53" s="105"/>
      <c r="M53" s="105"/>
      <c r="N53" s="60" t="s">
        <v>9</v>
      </c>
      <c r="O53" s="66">
        <f>O43</f>
        <v>5440</v>
      </c>
    </row>
    <row r="54" spans="1:15" ht="12.95" customHeight="1" x14ac:dyDescent="0.25">
      <c r="A54" s="152"/>
      <c r="B54" s="152"/>
      <c r="C54" s="152"/>
      <c r="D54" s="152"/>
      <c r="E54" s="152"/>
      <c r="F54" s="152"/>
      <c r="G54" s="152"/>
      <c r="H54" s="56"/>
      <c r="I54" s="57"/>
      <c r="J54" s="104" t="s">
        <v>39</v>
      </c>
      <c r="K54" s="105"/>
      <c r="L54" s="105"/>
      <c r="M54" s="105"/>
      <c r="N54" s="60" t="s">
        <v>9</v>
      </c>
      <c r="O54" s="66">
        <f>O49</f>
        <v>2500</v>
      </c>
    </row>
    <row r="55" spans="1:15" ht="12.95" customHeight="1" x14ac:dyDescent="0.25">
      <c r="A55" s="152"/>
      <c r="B55" s="152"/>
      <c r="C55" s="152"/>
      <c r="D55" s="152"/>
      <c r="E55" s="152"/>
      <c r="F55" s="152"/>
      <c r="G55" s="152"/>
      <c r="H55" s="56"/>
      <c r="I55" s="57"/>
      <c r="J55" s="104" t="s">
        <v>40</v>
      </c>
      <c r="K55" s="105"/>
      <c r="L55" s="105"/>
      <c r="M55" s="105"/>
      <c r="N55" s="61" t="s">
        <v>9</v>
      </c>
      <c r="O55" s="66">
        <f>G46+O46</f>
        <v>0</v>
      </c>
    </row>
    <row r="56" spans="1:15" ht="12.95" customHeight="1" x14ac:dyDescent="0.25">
      <c r="A56" s="152"/>
      <c r="B56" s="152"/>
      <c r="C56" s="152"/>
      <c r="D56" s="152"/>
      <c r="E56" s="152"/>
      <c r="F56" s="152"/>
      <c r="G56" s="152"/>
      <c r="H56" s="56"/>
      <c r="I56" s="57"/>
      <c r="J56" s="104" t="s">
        <v>41</v>
      </c>
      <c r="K56" s="105"/>
      <c r="L56" s="105"/>
      <c r="M56" s="105"/>
      <c r="N56" s="60" t="s">
        <v>9</v>
      </c>
      <c r="O56" s="66">
        <v>4500</v>
      </c>
    </row>
    <row r="57" spans="1:15" ht="12.95" customHeight="1" x14ac:dyDescent="0.25">
      <c r="A57" s="152"/>
      <c r="B57" s="152"/>
      <c r="C57" s="152"/>
      <c r="D57" s="152"/>
      <c r="E57" s="152"/>
      <c r="F57" s="152"/>
      <c r="G57" s="152"/>
      <c r="H57" s="56"/>
      <c r="I57" s="57"/>
      <c r="J57" s="104" t="s">
        <v>42</v>
      </c>
      <c r="K57" s="105"/>
      <c r="L57" s="105"/>
      <c r="M57" s="105"/>
      <c r="N57" s="60" t="s">
        <v>9</v>
      </c>
      <c r="O57" s="66">
        <v>0</v>
      </c>
    </row>
    <row r="58" spans="1:15" ht="12.95" customHeight="1" x14ac:dyDescent="0.25">
      <c r="A58" s="152"/>
      <c r="B58" s="152"/>
      <c r="C58" s="152"/>
      <c r="D58" s="152"/>
      <c r="E58" s="152"/>
      <c r="F58" s="152"/>
      <c r="G58" s="152"/>
      <c r="H58" s="56"/>
      <c r="I58" s="56"/>
      <c r="J58" s="64"/>
      <c r="K58" s="65"/>
      <c r="L58" s="141" t="s">
        <v>43</v>
      </c>
      <c r="M58" s="142"/>
      <c r="N58" s="42" t="s">
        <v>9</v>
      </c>
      <c r="O58" s="67">
        <f>SUM(O51:O57)</f>
        <v>17800</v>
      </c>
    </row>
    <row r="59" spans="1:15" ht="12.95" customHeight="1" x14ac:dyDescent="0.25">
      <c r="A59" s="152"/>
      <c r="B59" s="152"/>
      <c r="C59" s="152"/>
      <c r="D59" s="152"/>
      <c r="E59" s="152"/>
      <c r="F59" s="152"/>
      <c r="G59" s="152"/>
    </row>
    <row r="60" spans="1:15" x14ac:dyDescent="0.25">
      <c r="A60" s="152"/>
      <c r="B60" s="152"/>
      <c r="C60" s="152"/>
      <c r="D60" s="152"/>
      <c r="E60" s="152"/>
      <c r="F60" s="152"/>
      <c r="G60" s="152"/>
      <c r="J60" s="143" t="s">
        <v>55</v>
      </c>
      <c r="K60" s="143"/>
      <c r="L60" s="143"/>
      <c r="M60" s="143"/>
      <c r="N60" s="143"/>
      <c r="O60" s="59">
        <v>46080</v>
      </c>
    </row>
  </sheetData>
  <mergeCells count="71">
    <mergeCell ref="D3:O6"/>
    <mergeCell ref="L58:M58"/>
    <mergeCell ref="J60:N60"/>
    <mergeCell ref="I2:O2"/>
    <mergeCell ref="B51:G52"/>
    <mergeCell ref="C27:H27"/>
    <mergeCell ref="C24:H24"/>
    <mergeCell ref="C26:H26"/>
    <mergeCell ref="A53:G60"/>
    <mergeCell ref="L24:M24"/>
    <mergeCell ref="L25:M25"/>
    <mergeCell ref="L26:M26"/>
    <mergeCell ref="L27:M27"/>
    <mergeCell ref="C25:H25"/>
    <mergeCell ref="A21:C21"/>
    <mergeCell ref="A8:O8"/>
    <mergeCell ref="A12:C12"/>
    <mergeCell ref="A10:C10"/>
    <mergeCell ref="I10:K10"/>
    <mergeCell ref="D12:N12"/>
    <mergeCell ref="D10:H10"/>
    <mergeCell ref="L10:O10"/>
    <mergeCell ref="D19:F19"/>
    <mergeCell ref="D20:F20"/>
    <mergeCell ref="D21:F21"/>
    <mergeCell ref="A15:C15"/>
    <mergeCell ref="I19:O19"/>
    <mergeCell ref="A19:C19"/>
    <mergeCell ref="I20:O20"/>
    <mergeCell ref="A20:C20"/>
    <mergeCell ref="A14:O14"/>
    <mergeCell ref="I15:O15"/>
    <mergeCell ref="I16:O16"/>
    <mergeCell ref="I17:O17"/>
    <mergeCell ref="I18:O18"/>
    <mergeCell ref="A16:C16"/>
    <mergeCell ref="A17:C17"/>
    <mergeCell ref="A18:C18"/>
    <mergeCell ref="D15:F15"/>
    <mergeCell ref="D16:F16"/>
    <mergeCell ref="D17:F17"/>
    <mergeCell ref="D18:F18"/>
    <mergeCell ref="J56:M56"/>
    <mergeCell ref="J57:M57"/>
    <mergeCell ref="I24:J24"/>
    <mergeCell ref="I25:J25"/>
    <mergeCell ref="I26:J26"/>
    <mergeCell ref="I27:J27"/>
    <mergeCell ref="K28:M28"/>
    <mergeCell ref="A49:J49"/>
    <mergeCell ref="J51:M51"/>
    <mergeCell ref="J52:M52"/>
    <mergeCell ref="J53:M53"/>
    <mergeCell ref="J54:M54"/>
    <mergeCell ref="K49:M49"/>
    <mergeCell ref="F28:G28"/>
    <mergeCell ref="A46:B46"/>
    <mergeCell ref="I46:J46"/>
    <mergeCell ref="A48:O48"/>
    <mergeCell ref="E43:F43"/>
    <mergeCell ref="J55:M55"/>
    <mergeCell ref="A23:O23"/>
    <mergeCell ref="I21:O21"/>
    <mergeCell ref="B43:C43"/>
    <mergeCell ref="J43:K43"/>
    <mergeCell ref="M43:N43"/>
    <mergeCell ref="I28:J28"/>
    <mergeCell ref="A30:G30"/>
    <mergeCell ref="I30:O30"/>
    <mergeCell ref="A45:G45"/>
    <mergeCell ref="I45:O45"/>
  </mergeCells>
  <pageMargins left="0.7" right="0.7" top="0.75" bottom="0.75" header="0.3" footer="0.3"/>
  <pageSetup scale="85" orientation="portrait" r:id="rId1"/>
  <headerFooter>
    <oddFooter>&amp;LSQ FORM X2_2025 REV. 1</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FDE6C1-1031-4410-8195-5CBB9DAE7003}">
  <dimension ref="A5:D48"/>
  <sheetViews>
    <sheetView zoomScaleNormal="100" workbookViewId="0">
      <selection activeCell="A45" sqref="A45:D46"/>
    </sheetView>
  </sheetViews>
  <sheetFormatPr defaultRowHeight="15" x14ac:dyDescent="0.25"/>
  <cols>
    <col min="1" max="1" width="38" customWidth="1"/>
    <col min="2" max="2" width="12" customWidth="1"/>
    <col min="3" max="3" width="8.7109375" customWidth="1"/>
    <col min="4" max="4" width="27.7109375" customWidth="1"/>
  </cols>
  <sheetData>
    <row r="5" spans="1:4" ht="15.75" x14ac:dyDescent="0.25">
      <c r="A5" s="70" t="s">
        <v>56</v>
      </c>
    </row>
    <row r="6" spans="1:4" ht="15.75" x14ac:dyDescent="0.25">
      <c r="A6" s="70"/>
    </row>
    <row r="7" spans="1:4" x14ac:dyDescent="0.25">
      <c r="A7" s="71" t="s">
        <v>57</v>
      </c>
    </row>
    <row r="8" spans="1:4" ht="15.75" thickBot="1" x14ac:dyDescent="0.3">
      <c r="A8" s="71"/>
    </row>
    <row r="9" spans="1:4" x14ac:dyDescent="0.25">
      <c r="A9" s="91"/>
      <c r="B9" s="92"/>
      <c r="C9" s="92"/>
      <c r="D9" s="92"/>
    </row>
    <row r="10" spans="1:4" ht="14.45" customHeight="1" x14ac:dyDescent="0.25">
      <c r="A10" s="93" t="s">
        <v>58</v>
      </c>
      <c r="B10" s="94" t="s">
        <v>59</v>
      </c>
      <c r="C10" s="94" t="s">
        <v>60</v>
      </c>
      <c r="D10" s="94" t="s">
        <v>61</v>
      </c>
    </row>
    <row r="11" spans="1:4" ht="15.75" thickBot="1" x14ac:dyDescent="0.3">
      <c r="A11" s="95"/>
      <c r="B11" s="96" t="s">
        <v>62</v>
      </c>
      <c r="C11" s="97"/>
      <c r="D11" s="97"/>
    </row>
    <row r="12" spans="1:4" ht="12.6" customHeight="1" x14ac:dyDescent="0.25">
      <c r="A12" s="72"/>
      <c r="B12" s="168" t="s">
        <v>63</v>
      </c>
      <c r="C12" s="168">
        <v>4</v>
      </c>
      <c r="D12" s="73" t="s">
        <v>64</v>
      </c>
    </row>
    <row r="13" spans="1:4" ht="12.6" customHeight="1" x14ac:dyDescent="0.25">
      <c r="A13" s="72" t="s">
        <v>65</v>
      </c>
      <c r="B13" s="169"/>
      <c r="C13" s="169"/>
      <c r="D13" s="74" t="s">
        <v>66</v>
      </c>
    </row>
    <row r="14" spans="1:4" ht="12.6" customHeight="1" thickBot="1" x14ac:dyDescent="0.3">
      <c r="A14" s="75"/>
      <c r="B14" s="170"/>
      <c r="C14" s="170"/>
      <c r="D14" s="76" t="s">
        <v>67</v>
      </c>
    </row>
    <row r="15" spans="1:4" ht="12.6" customHeight="1" x14ac:dyDescent="0.25">
      <c r="A15" s="77"/>
      <c r="B15" s="168" t="s">
        <v>68</v>
      </c>
      <c r="C15" s="168">
        <v>4</v>
      </c>
      <c r="D15" s="73" t="s">
        <v>69</v>
      </c>
    </row>
    <row r="16" spans="1:4" ht="12.6" customHeight="1" x14ac:dyDescent="0.25">
      <c r="A16" s="72" t="s">
        <v>70</v>
      </c>
      <c r="B16" s="169"/>
      <c r="C16" s="169"/>
      <c r="D16" s="73" t="s">
        <v>71</v>
      </c>
    </row>
    <row r="17" spans="1:4" ht="12.6" customHeight="1" thickBot="1" x14ac:dyDescent="0.3">
      <c r="A17" s="75"/>
      <c r="B17" s="170"/>
      <c r="C17" s="170"/>
      <c r="D17" s="76" t="s">
        <v>72</v>
      </c>
    </row>
    <row r="18" spans="1:4" x14ac:dyDescent="0.25">
      <c r="A18" s="98"/>
      <c r="B18" s="94"/>
      <c r="C18" s="94"/>
      <c r="D18" s="94"/>
    </row>
    <row r="19" spans="1:4" ht="12" customHeight="1" x14ac:dyDescent="0.25">
      <c r="A19" s="93" t="s">
        <v>73</v>
      </c>
      <c r="B19" s="94" t="s">
        <v>59</v>
      </c>
      <c r="C19" s="94" t="s">
        <v>60</v>
      </c>
      <c r="D19" s="94" t="s">
        <v>61</v>
      </c>
    </row>
    <row r="20" spans="1:4" ht="16.149999999999999" customHeight="1" thickBot="1" x14ac:dyDescent="0.3">
      <c r="A20" s="95"/>
      <c r="B20" s="96" t="s">
        <v>62</v>
      </c>
      <c r="C20" s="97"/>
      <c r="D20" s="97"/>
    </row>
    <row r="21" spans="1:4" ht="12.6" customHeight="1" x14ac:dyDescent="0.25">
      <c r="A21" s="78"/>
      <c r="B21" s="168" t="s">
        <v>74</v>
      </c>
      <c r="C21" s="168">
        <v>8</v>
      </c>
      <c r="D21" s="73" t="s">
        <v>75</v>
      </c>
    </row>
    <row r="22" spans="1:4" ht="12.6" customHeight="1" x14ac:dyDescent="0.25">
      <c r="A22" s="72" t="s">
        <v>76</v>
      </c>
      <c r="B22" s="169"/>
      <c r="C22" s="169"/>
      <c r="D22" s="73" t="s">
        <v>77</v>
      </c>
    </row>
    <row r="23" spans="1:4" ht="12.6" customHeight="1" thickBot="1" x14ac:dyDescent="0.3">
      <c r="A23" s="79"/>
      <c r="B23" s="170"/>
      <c r="C23" s="170"/>
      <c r="D23" s="76" t="s">
        <v>78</v>
      </c>
    </row>
    <row r="24" spans="1:4" ht="12.6" customHeight="1" x14ac:dyDescent="0.25">
      <c r="A24" s="72"/>
      <c r="B24" s="168" t="s">
        <v>79</v>
      </c>
      <c r="C24" s="168">
        <v>8</v>
      </c>
      <c r="D24" s="73" t="s">
        <v>75</v>
      </c>
    </row>
    <row r="25" spans="1:4" ht="13.15" customHeight="1" x14ac:dyDescent="0.25">
      <c r="A25" s="80" t="s">
        <v>80</v>
      </c>
      <c r="B25" s="169"/>
      <c r="C25" s="169"/>
      <c r="D25" s="73" t="s">
        <v>81</v>
      </c>
    </row>
    <row r="26" spans="1:4" ht="12.6" customHeight="1" thickBot="1" x14ac:dyDescent="0.3">
      <c r="A26" s="79" t="s">
        <v>82</v>
      </c>
      <c r="B26" s="170"/>
      <c r="C26" s="170"/>
      <c r="D26" s="76" t="s">
        <v>83</v>
      </c>
    </row>
    <row r="27" spans="1:4" ht="12.6" customHeight="1" x14ac:dyDescent="0.25">
      <c r="A27" s="81"/>
      <c r="B27" s="82"/>
      <c r="C27" s="82"/>
      <c r="D27" s="83"/>
    </row>
    <row r="28" spans="1:4" ht="12.6" customHeight="1" x14ac:dyDescent="0.25">
      <c r="A28" s="71"/>
    </row>
    <row r="29" spans="1:4" ht="12.6" customHeight="1" x14ac:dyDescent="0.25">
      <c r="A29" s="84" t="s">
        <v>84</v>
      </c>
    </row>
    <row r="30" spans="1:4" ht="12.6" customHeight="1" x14ac:dyDescent="0.25">
      <c r="A30" s="71"/>
    </row>
    <row r="31" spans="1:4" x14ac:dyDescent="0.25">
      <c r="A31" s="84" t="s">
        <v>85</v>
      </c>
    </row>
    <row r="32" spans="1:4" x14ac:dyDescent="0.25">
      <c r="A32" s="71"/>
    </row>
    <row r="33" spans="1:4" x14ac:dyDescent="0.25">
      <c r="A33" s="84" t="s">
        <v>86</v>
      </c>
    </row>
    <row r="34" spans="1:4" x14ac:dyDescent="0.25">
      <c r="A34" s="71"/>
    </row>
    <row r="35" spans="1:4" ht="15" customHeight="1" x14ac:dyDescent="0.25">
      <c r="A35" s="171" t="s">
        <v>87</v>
      </c>
      <c r="B35" s="171"/>
      <c r="C35" s="171"/>
      <c r="D35" s="171"/>
    </row>
    <row r="36" spans="1:4" x14ac:dyDescent="0.25">
      <c r="A36" s="172" t="s">
        <v>88</v>
      </c>
      <c r="B36" s="172"/>
      <c r="C36" s="172"/>
      <c r="D36" s="172"/>
    </row>
    <row r="37" spans="1:4" x14ac:dyDescent="0.25">
      <c r="A37" s="85"/>
      <c r="B37" s="85"/>
      <c r="C37" s="85"/>
      <c r="D37" s="85"/>
    </row>
    <row r="39" spans="1:4" x14ac:dyDescent="0.25">
      <c r="A39" s="86" t="s">
        <v>89</v>
      </c>
      <c r="B39" s="173" t="s">
        <v>105</v>
      </c>
      <c r="C39" s="173"/>
      <c r="D39" s="173"/>
    </row>
    <row r="41" spans="1:4" x14ac:dyDescent="0.25">
      <c r="A41" s="99" t="s">
        <v>90</v>
      </c>
      <c r="B41" s="174" t="s">
        <v>91</v>
      </c>
      <c r="C41" s="174"/>
      <c r="D41" s="100" t="s">
        <v>92</v>
      </c>
    </row>
    <row r="42" spans="1:4" x14ac:dyDescent="0.25">
      <c r="A42" s="87" t="s">
        <v>76</v>
      </c>
      <c r="B42" s="159">
        <v>1</v>
      </c>
      <c r="C42" s="159"/>
      <c r="D42" s="88">
        <v>4500</v>
      </c>
    </row>
    <row r="43" spans="1:4" x14ac:dyDescent="0.25">
      <c r="A43" s="160" t="s">
        <v>93</v>
      </c>
      <c r="B43" s="160"/>
      <c r="C43" s="160"/>
      <c r="D43" s="160"/>
    </row>
    <row r="44" spans="1:4" x14ac:dyDescent="0.25">
      <c r="A44" s="161"/>
      <c r="B44" s="161"/>
      <c r="C44" s="161"/>
      <c r="D44" s="161"/>
    </row>
    <row r="45" spans="1:4" x14ac:dyDescent="0.25">
      <c r="A45" s="162"/>
      <c r="B45" s="163"/>
      <c r="C45" s="163"/>
      <c r="D45" s="164"/>
    </row>
    <row r="46" spans="1:4" x14ac:dyDescent="0.25">
      <c r="A46" s="165"/>
      <c r="B46" s="166"/>
      <c r="C46" s="166"/>
      <c r="D46" s="167"/>
    </row>
    <row r="47" spans="1:4" x14ac:dyDescent="0.25">
      <c r="A47" s="89"/>
      <c r="B47" s="90" t="s">
        <v>94</v>
      </c>
      <c r="C47" s="90"/>
      <c r="D47" s="90"/>
    </row>
    <row r="48" spans="1:4" ht="14.45" customHeight="1" x14ac:dyDescent="0.25"/>
  </sheetData>
  <mergeCells count="15">
    <mergeCell ref="B12:B14"/>
    <mergeCell ref="C12:C14"/>
    <mergeCell ref="B15:B17"/>
    <mergeCell ref="C15:C17"/>
    <mergeCell ref="B21:B23"/>
    <mergeCell ref="C21:C23"/>
    <mergeCell ref="B42:C42"/>
    <mergeCell ref="A43:D44"/>
    <mergeCell ref="A45:D46"/>
    <mergeCell ref="B24:B26"/>
    <mergeCell ref="C24:C26"/>
    <mergeCell ref="A35:D35"/>
    <mergeCell ref="A36:D36"/>
    <mergeCell ref="B39:D39"/>
    <mergeCell ref="B41:C41"/>
  </mergeCells>
  <pageMargins left="0.7" right="0.7" top="0.75" bottom="0.75" header="0.3" footer="0.3"/>
  <pageSetup orientation="portrait" r:id="rId1"/>
  <headerFooter>
    <oddFooter>&amp;LSQ_CALIBRATION RATES_2025_REV1</oddFooter>
  </headerFooter>
  <drawing r:id="rId2"/>
</worksheet>
</file>

<file path=docMetadata/LabelInfo.xml><?xml version="1.0" encoding="utf-8"?>
<clbl:labelList xmlns:clbl="http://schemas.microsoft.com/office/2020/mipLabelMetadata">
  <clbl:label id="{060d28e6-2711-41c7-a68f-702f23d4c114}" enabled="1" method="Privileged" siteId="{f0660551-7f49-4caa-9af7-c22f7cb31c24}"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2</vt:i4>
      </vt:variant>
    </vt:vector>
  </HeadingPairs>
  <TitlesOfParts>
    <vt:vector size="4" baseType="lpstr">
      <vt:lpstr>SERVICE QUOTE</vt:lpstr>
      <vt:lpstr>CALIBRATION RATES</vt:lpstr>
      <vt:lpstr>'CALIBRATION RATES'!Print_Area</vt:lpstr>
      <vt:lpstr>'SERVICE QUOTE'!Print_Area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Meissenburg, Steven</dc:creator>
  <cp:lastModifiedBy>Bergren, Brian</cp:lastModifiedBy>
  <cp:lastPrinted>2025-01-22T15:49:10Z</cp:lastPrinted>
  <dcterms:created xsi:type="dcterms:W3CDTF">2025-01-08T13:45:49Z</dcterms:created>
  <dcterms:modified xsi:type="dcterms:W3CDTF">2026-02-27T17:27:22Z</dcterms:modified>
</cp:coreProperties>
</file>