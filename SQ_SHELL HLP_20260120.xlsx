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15" documentId="8_{ECBDD490-5F4A-4DB7-8E11-034F2A6C97E7}" xr6:coauthVersionLast="47" xr6:coauthVersionMax="47" xr10:uidLastSave="{E10FA4ED-16CD-446B-AFED-68E2A33CDD9C}"/>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<sst xmlns="http://schemas.openxmlformats.org/spreadsheetml/2006/main" count="167" uniqueCount="100">
  <si>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</si>
  <si>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</si>
  <si>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</si>
  <si>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</si>
  <si>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</si>
  <si>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</si>
  <si>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</si>
  <si>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</si>
  <si>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</si>
  <si>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</si>
  <si>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</si>
  <si>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</si>
  <si>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</si>
  <si>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</si>
  <si>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</si>
  <si>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</si>
  <si>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</si>
  <si>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</si>
  <si>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</si>
  <si>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</si>
  <si>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</si>
  <si>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</si>
  <si>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</si>
  <si>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</si>
  <si>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</si>
  <si>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</si>
  <si>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</si>
  <si>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</si>
  <si>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</si>
  <si>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</si>
  <si>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</si>
  <si>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</si>
  <si>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</si>
  <si>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</si>
  <si>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</si>
  <si>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</si>
  <si>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</si>
  <si>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</si>
  <si>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</si>
  <si>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</si>
  <si>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</si>
  <si>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</si>
  <si>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</si>
  <si>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</si>
  <si>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</si>
  <si>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</si>
  <si>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</si>
  <si>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</si>
  <si>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</si>
  <si>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</si>
  <si>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</si>
  <si>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</si>
  <si>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</si>
  <si>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</si>
  <si>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</si>
  <si>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</si>
  <si>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</si>
  <si>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</si>
  <si>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</si>
  <si>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</si>
  <si>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</si>
  <si>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</si>
  <si>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</si>
  <si>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</si>
  <si>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</si>
  <si>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</si>
  <si>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</si>
  <si>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</si>
  <si>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</si>
  <si>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</si>
  <si>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</si>
  <si>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</si>
  <si>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</si>
  <si>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</si>
  <si>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</si>
  <si>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</si>
  <si>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</si>
  <si>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</si>
  <si>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</si>
  <si>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</si>
  <si>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</si>
  <si>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</si>
  <si>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</si>
  <si>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</si>
  <si>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</si>
  <si>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</si>
  <si>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</si>
  <si>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</si>
  <si>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</si>
  <si>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</si>
  <si>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</si>
  <si>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</si>
  <si>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</si>
  <si>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</si>
  <si>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Saputo Frederick</t>
  </si>
  <si>
    <t>QUOTE #:20260120</t>
  </si>
  <si>
    <t>Shell</t>
  </si>
  <si>
    <t>Galena Park, TX</t>
  </si>
  <si>
    <t>Troubleshoot alignment issues</t>
  </si>
  <si>
    <t>Toronto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</si>
</sst>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L43" sqref="L43"/>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6"/>
      <c r="F1" s="102" t="s">
        <v>95</v>
      </c>
      <c r="G1" s="102"/>
      <c r="H1" s="102"/>
      <c r="I1" s="102"/>
      <c r="J1" s="102"/>
    </row>
    <row r="2" spans="1:10" x14ac:dyDescent="0.25">
      <c r="A2" s="126"/>
      <c r="B2" s="126"/>
      <c r="C2" s="126"/>
      <c r="D2" s="86"/>
      <c r="E2" s="86"/>
      <c r="F2" s="86"/>
      <c r="G2" s="86"/>
      <c r="H2" s="86"/>
      <c r="I2" s="86"/>
      <c r="J2" s="86"/>
    </row>
    <row r="3" spans="1:10" x14ac:dyDescent="0.25">
      <c r="A3" s="126"/>
      <c r="B3" s="126"/>
      <c r="C3" s="126"/>
      <c r="D3" s="86"/>
      <c r="E3" s="86"/>
      <c r="F3" s="86"/>
      <c r="G3" s="86"/>
      <c r="H3" s="86"/>
      <c r="I3" s="86"/>
      <c r="J3" s="86"/>
    </row>
    <row r="4" spans="1:10" x14ac:dyDescent="0.25">
      <c r="A4" s="154"/>
      <c r="B4" s="154"/>
      <c r="C4" s="154"/>
      <c r="D4" s="87"/>
      <c r="E4" s="87"/>
      <c r="F4" s="87"/>
      <c r="G4" s="87"/>
      <c r="H4" s="87"/>
      <c r="I4" s="87"/>
      <c r="J4" s="87"/>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96</v>
      </c>
      <c r="D7" s="141"/>
      <c r="E7" s="141"/>
      <c r="F7" s="141"/>
      <c r="G7" s="1" t="s">
        <v>11</v>
      </c>
      <c r="H7" s="141" t="s">
        <v>97</v>
      </c>
      <c r="I7" s="141"/>
      <c r="J7" s="141"/>
    </row>
    <row r="8" spans="1:10" ht="3.75" customHeight="1" x14ac:dyDescent="0.25">
      <c r="A8" s="140"/>
      <c r="B8" s="140"/>
      <c r="C8" s="140"/>
      <c r="D8" s="140"/>
      <c r="E8" s="140"/>
      <c r="F8" s="140"/>
      <c r="G8" s="140"/>
      <c r="H8" s="140"/>
      <c r="I8" s="140"/>
      <c r="J8" s="140"/>
    </row>
    <row r="9" spans="1:10" x14ac:dyDescent="0.25">
      <c r="A9" s="137" t="s">
        <v>0</v>
      </c>
      <c r="B9" s="137"/>
      <c r="C9" s="141" t="s">
        <v>98</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46043</v>
      </c>
      <c r="B21" s="76" t="s">
        <v>7</v>
      </c>
      <c r="C21" s="144" t="s">
        <v>99</v>
      </c>
      <c r="D21" s="145"/>
      <c r="E21" s="146"/>
      <c r="F21" s="48">
        <v>10</v>
      </c>
      <c r="G21" s="70" t="s">
        <v>8</v>
      </c>
      <c r="H21" s="71">
        <v>181</v>
      </c>
      <c r="I21" s="70" t="s">
        <v>12</v>
      </c>
      <c r="J21" s="49">
        <f>SUM(H21*F21)</f>
        <v>1810</v>
      </c>
    </row>
    <row r="22" spans="1:10" x14ac:dyDescent="0.25">
      <c r="A22" s="78"/>
      <c r="B22" s="26" t="s">
        <v>6</v>
      </c>
      <c r="C22" s="147" t="str">
        <f>H7</f>
        <v>Galena Park, TX</v>
      </c>
      <c r="D22" s="148"/>
      <c r="E22" s="149"/>
      <c r="F22" s="50"/>
      <c r="G22" s="27" t="s">
        <v>8</v>
      </c>
      <c r="H22" s="72">
        <v>272</v>
      </c>
      <c r="I22" s="27" t="s">
        <v>12</v>
      </c>
      <c r="J22" s="51">
        <f t="shared" ref="J22" si="0">SUM(H22*F22)</f>
        <v>0</v>
      </c>
    </row>
    <row r="23" spans="1:10" x14ac:dyDescent="0.25">
      <c r="A23" s="77">
        <v>46045</v>
      </c>
      <c r="B23" s="76" t="s">
        <v>7</v>
      </c>
      <c r="C23" s="144" t="str">
        <f>C22</f>
        <v>Galena Park, TX</v>
      </c>
      <c r="D23" s="145"/>
      <c r="E23" s="146"/>
      <c r="F23" s="48">
        <v>10</v>
      </c>
      <c r="G23" s="70" t="s">
        <v>8</v>
      </c>
      <c r="H23" s="71">
        <v>181</v>
      </c>
      <c r="I23" s="70" t="s">
        <v>12</v>
      </c>
      <c r="J23" s="49">
        <f>SUM(H23*F23)</f>
        <v>1810</v>
      </c>
    </row>
    <row r="24" spans="1:10" x14ac:dyDescent="0.25">
      <c r="A24" s="79"/>
      <c r="B24" s="26" t="s">
        <v>6</v>
      </c>
      <c r="C24" s="147" t="s">
        <v>99</v>
      </c>
      <c r="D24" s="148"/>
      <c r="E24" s="149"/>
      <c r="F24" s="50"/>
      <c r="G24" s="27" t="s">
        <v>8</v>
      </c>
      <c r="H24" s="72">
        <v>272</v>
      </c>
      <c r="I24" s="27" t="s">
        <v>12</v>
      </c>
      <c r="J24" s="51">
        <f>SUM(H24*F24)</f>
        <v>0</v>
      </c>
    </row>
    <row r="25" spans="1:10" ht="10.9" customHeight="1" x14ac:dyDescent="0.25">
      <c r="A25" s="29"/>
      <c r="B25" s="30"/>
      <c r="C25" s="35"/>
      <c r="D25" s="30" t="s">
        <v>29</v>
      </c>
      <c r="E25" s="30"/>
      <c r="F25" s="31">
        <f>SUM(F21:F24)</f>
        <v>20</v>
      </c>
      <c r="G25" s="131" t="s">
        <v>13</v>
      </c>
      <c r="H25" s="131"/>
      <c r="I25" s="32" t="s">
        <v>12</v>
      </c>
      <c r="J25" s="33">
        <f>SUM(J21:J24)</f>
        <v>3620</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46040</v>
      </c>
      <c r="B28" s="143" t="s">
        <v>15</v>
      </c>
      <c r="C28" s="143"/>
      <c r="D28" s="36" t="s">
        <v>24</v>
      </c>
      <c r="E28" s="39"/>
      <c r="F28" s="40"/>
      <c r="G28" s="36" t="s">
        <v>8</v>
      </c>
      <c r="H28" s="73">
        <v>416</v>
      </c>
      <c r="I28" s="36" t="s">
        <v>12</v>
      </c>
      <c r="J28" s="41">
        <f>H28*F28</f>
        <v>0</v>
      </c>
    </row>
    <row r="29" spans="1:10" x14ac:dyDescent="0.25">
      <c r="A29" s="81">
        <f>A28+1</f>
        <v>46041</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46042</v>
      </c>
      <c r="B31" s="142" t="s">
        <v>16</v>
      </c>
      <c r="C31" s="142"/>
      <c r="D31" s="28" t="s">
        <v>22</v>
      </c>
      <c r="E31" s="42"/>
      <c r="F31" s="43"/>
      <c r="G31" s="28" t="s">
        <v>8</v>
      </c>
      <c r="H31" s="74">
        <v>208</v>
      </c>
      <c r="I31" s="28" t="s">
        <v>12</v>
      </c>
      <c r="J31" s="44">
        <v>0</v>
      </c>
    </row>
    <row r="32" spans="1:10" x14ac:dyDescent="0.25">
      <c r="A32" s="82"/>
      <c r="B32" s="143"/>
      <c r="C32" s="143"/>
      <c r="D32" s="36" t="s">
        <v>23</v>
      </c>
      <c r="E32" s="39"/>
      <c r="F32" s="40"/>
      <c r="G32" s="36" t="s">
        <v>8</v>
      </c>
      <c r="H32" s="73">
        <v>312</v>
      </c>
      <c r="I32" s="36" t="s">
        <v>12</v>
      </c>
      <c r="J32" s="41">
        <f t="shared" si="1"/>
        <v>0</v>
      </c>
    </row>
    <row r="33" spans="1:10" x14ac:dyDescent="0.25">
      <c r="A33" s="83">
        <f>A28+3</f>
        <v>46043</v>
      </c>
      <c r="B33" s="161" t="s">
        <v>17</v>
      </c>
      <c r="C33" s="161"/>
      <c r="D33" s="75" t="s">
        <v>22</v>
      </c>
      <c r="E33" s="45"/>
      <c r="F33" s="46"/>
      <c r="G33" s="75" t="s">
        <v>8</v>
      </c>
      <c r="H33" s="74">
        <v>208</v>
      </c>
      <c r="I33" s="75" t="s">
        <v>12</v>
      </c>
      <c r="J33" s="44">
        <f t="shared" si="1"/>
        <v>0</v>
      </c>
    </row>
    <row r="34" spans="1:10" x14ac:dyDescent="0.25">
      <c r="A34" s="82"/>
      <c r="B34" s="143"/>
      <c r="C34" s="143"/>
      <c r="D34" s="36" t="s">
        <v>23</v>
      </c>
      <c r="E34" s="39"/>
      <c r="F34" s="40"/>
      <c r="G34" s="36" t="s">
        <v>8</v>
      </c>
      <c r="H34" s="73">
        <v>312</v>
      </c>
      <c r="I34" s="36" t="s">
        <v>12</v>
      </c>
      <c r="J34" s="41">
        <f t="shared" si="1"/>
        <v>0</v>
      </c>
    </row>
    <row r="35" spans="1:10" x14ac:dyDescent="0.25">
      <c r="A35" s="81">
        <f>A28+4</f>
        <v>46044</v>
      </c>
      <c r="B35" s="142" t="s">
        <v>18</v>
      </c>
      <c r="C35" s="142"/>
      <c r="D35" s="28" t="s">
        <v>22</v>
      </c>
      <c r="E35" s="42"/>
      <c r="F35" s="43">
        <v>8</v>
      </c>
      <c r="G35" s="28" t="s">
        <v>8</v>
      </c>
      <c r="H35" s="74">
        <v>208</v>
      </c>
      <c r="I35" s="28" t="s">
        <v>12</v>
      </c>
      <c r="J35" s="44">
        <f t="shared" si="1"/>
        <v>1664</v>
      </c>
    </row>
    <row r="36" spans="1:10" x14ac:dyDescent="0.25">
      <c r="A36" s="82"/>
      <c r="B36" s="143"/>
      <c r="C36" s="143"/>
      <c r="D36" s="36" t="s">
        <v>23</v>
      </c>
      <c r="E36" s="39"/>
      <c r="F36" s="40">
        <v>4</v>
      </c>
      <c r="G36" s="36" t="s">
        <v>8</v>
      </c>
      <c r="H36" s="73">
        <v>312</v>
      </c>
      <c r="I36" s="36" t="s">
        <v>12</v>
      </c>
      <c r="J36" s="41">
        <f t="shared" si="1"/>
        <v>1248</v>
      </c>
    </row>
    <row r="37" spans="1:10" x14ac:dyDescent="0.25">
      <c r="A37" s="81">
        <f>A28+5</f>
        <v>46045</v>
      </c>
      <c r="B37" s="142" t="s">
        <v>19</v>
      </c>
      <c r="C37" s="142"/>
      <c r="D37" s="28" t="s">
        <v>22</v>
      </c>
      <c r="E37" s="42"/>
      <c r="F37" s="43"/>
      <c r="G37" s="28" t="s">
        <v>8</v>
      </c>
      <c r="H37" s="74">
        <v>208</v>
      </c>
      <c r="I37" s="28" t="s">
        <v>12</v>
      </c>
      <c r="J37" s="44">
        <f t="shared" si="1"/>
        <v>0</v>
      </c>
    </row>
    <row r="38" spans="1:10" x14ac:dyDescent="0.25">
      <c r="A38" s="82"/>
      <c r="B38" s="143"/>
      <c r="C38" s="143"/>
      <c r="D38" s="36" t="s">
        <v>23</v>
      </c>
      <c r="E38" s="39"/>
      <c r="F38" s="40"/>
      <c r="G38" s="36" t="s">
        <v>8</v>
      </c>
      <c r="H38" s="73">
        <v>312</v>
      </c>
      <c r="I38" s="36" t="s">
        <v>12</v>
      </c>
      <c r="J38" s="41">
        <f t="shared" si="1"/>
        <v>0</v>
      </c>
    </row>
    <row r="39" spans="1:10" x14ac:dyDescent="0.25">
      <c r="A39" s="81">
        <f>A28+6</f>
        <v>46046</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12</v>
      </c>
      <c r="G40" s="131" t="s">
        <v>25</v>
      </c>
      <c r="H40" s="131"/>
      <c r="I40" s="36" t="s">
        <v>12</v>
      </c>
      <c r="J40" s="37">
        <f>SUM(J28:J39)</f>
        <v>2912</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3000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3620</v>
      </c>
    </row>
    <row r="49" spans="1:10" ht="14.45" customHeight="1" x14ac:dyDescent="0.25">
      <c r="A49" s="100" t="s">
        <v>72</v>
      </c>
      <c r="B49" s="100"/>
      <c r="C49" s="100"/>
      <c r="D49" s="100"/>
      <c r="E49" s="126"/>
      <c r="F49" s="110" t="s">
        <v>25</v>
      </c>
      <c r="G49" s="111"/>
      <c r="H49" s="111"/>
      <c r="I49" s="62" t="s">
        <v>12</v>
      </c>
      <c r="J49" s="53">
        <f>SUM(J40)</f>
        <v>2912</v>
      </c>
    </row>
    <row r="50" spans="1:10" x14ac:dyDescent="0.25">
      <c r="A50" s="100"/>
      <c r="B50" s="100"/>
      <c r="C50" s="100"/>
      <c r="D50" s="100"/>
      <c r="E50" s="126"/>
      <c r="F50" s="110" t="s">
        <v>26</v>
      </c>
      <c r="G50" s="111"/>
      <c r="H50" s="111"/>
      <c r="I50" s="62" t="s">
        <v>12</v>
      </c>
      <c r="J50" s="53">
        <f>SUM(J46)</f>
        <v>3000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9532</v>
      </c>
    </row>
    <row r="55" spans="1:10" x14ac:dyDescent="0.25">
      <c r="A55" s="85"/>
      <c r="B55" s="85"/>
      <c r="C55" s="85"/>
      <c r="D55" s="85"/>
      <c r="E55" s="16"/>
      <c r="F55" s="155" t="s">
        <v>67</v>
      </c>
      <c r="G55" s="156"/>
      <c r="H55" s="156"/>
      <c r="I55" s="156"/>
      <c r="J55" s="84">
        <v>46042</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t="s">
        <v>94</v>
      </c>
      <c r="C39" s="176"/>
      <c r="D39" s="176"/>
    </row>
    <row r="41" spans="1:4" x14ac:dyDescent="0.25">
      <c r="A41" s="98" t="s">
        <v>60</v>
      </c>
      <c r="B41" s="175" t="s">
        <v>61</v>
      </c>
      <c r="C41" s="175"/>
      <c r="D41" s="99" t="s">
        <v>62</v>
      </c>
    </row>
    <row r="42" spans="1:4" x14ac:dyDescent="0.25">
      <c r="A42" s="17" t="s">
        <v>52</v>
      </c>
      <c r="B42" s="177">
        <v>1</v>
      </c>
      <c r="C42" s="177"/>
      <c r="D42" s="18">
        <v>5850</v>
      </c>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2026-01-20T19:23:49Z</dcterms:modified>
</cp:coreProperties>
</file>