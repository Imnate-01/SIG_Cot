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36" documentId="8_{4EF1696B-6A6D-494E-A53C-68191FDEE395}" xr6:coauthVersionLast="47" xr6:coauthVersionMax="47" xr10:uidLastSave="{37A460ED-4A71-47E2-9BC6-0DFA0C62B7F3}"/>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2" i="1"/>
  <c r="C23" i="1" s="1"/>
  <c r="O51" i="1"/>
  <c r="O43" i="1"/>
  <c r="G43" i="1"/>
  <c r="O39" i="1"/>
  <c r="O38" i="1"/>
  <c r="O37" i="1"/>
  <c r="O36" i="1"/>
  <c r="O35" i="1"/>
  <c r="O34" i="1"/>
  <c r="O33" i="1"/>
  <c r="O32" i="1"/>
  <c r="O31" i="1"/>
  <c r="O30" i="1"/>
  <c r="O29" i="1"/>
  <c r="O28" i="1"/>
  <c r="G39" i="1"/>
  <c r="G38" i="1"/>
  <c r="G37" i="1"/>
  <c r="G36" i="1"/>
  <c r="G35" i="1"/>
  <c r="G34" i="1"/>
  <c r="G33" i="1"/>
  <c r="G32" i="1"/>
  <c r="G30" i="1"/>
  <c r="G29" i="1"/>
  <c r="G28" i="1"/>
  <c r="L40" i="1"/>
  <c r="D40" i="1"/>
  <c r="A39" i="1"/>
  <c r="A37" i="1"/>
  <c r="A35" i="1"/>
  <c r="A33" i="1"/>
  <c r="A31" i="1"/>
  <c r="A29" i="1"/>
  <c r="I29" i="1"/>
  <c r="O52" i="1" l="1"/>
  <c r="G40" i="1"/>
  <c r="O49" i="1" s="1"/>
  <c r="O40" i="1"/>
  <c r="O50" i="1" s="1"/>
  <c r="O25" i="1"/>
  <c r="O48" i="1" s="1"/>
  <c r="I31" i="1"/>
  <c r="I33" i="1"/>
  <c r="I35" i="1"/>
  <c r="I37" i="1"/>
  <c r="I39" i="1"/>
  <c r="O55" i="1" l="1"/>
</calcChain>
</file>

<file path=xl/sharedStrings.xml><?xml version="1.0" encoding="utf-8"?>
<sst xmlns="http://schemas.openxmlformats.org/spreadsheetml/2006/main" count="195" uniqueCount="108">
  <si>
    <t>DBL</t>
  </si>
  <si>
    <t xml:space="preserve"> HRS    X</t>
  </si>
  <si>
    <t>REG</t>
  </si>
  <si>
    <t>OT</t>
  </si>
  <si>
    <t xml:space="preserve">WEEK 1 HRS  = </t>
  </si>
  <si>
    <t xml:space="preserve">WEEK 2 HRS  = </t>
  </si>
  <si>
    <t>LABOR SUBTOTAL  =</t>
  </si>
  <si>
    <t>TRAVEL TIME</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</si>
  <si>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</si>
  <si>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</si>
  <si>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</si>
  <si>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</si>
  <si>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</si>
  <si>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</si>
  <si>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</si>
  <si>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</si>
  <si>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</si>
  <si>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</si>
  <si>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</si>
  <si>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</si>
  <si>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</si>
  <si>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</si>
  <si>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</si>
  <si>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</si>
  <si>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</si>
  <si>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</si>
  <si>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</si>
  <si>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</si>
  <si>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</si>
  <si>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</si>
  <si>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</si>
  <si>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</si>
  <si>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</si>
  <si>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</si>
  <si>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</si>
  <si>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</si>
  <si>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</si>
  <si>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</si>
  <si>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</si>
  <si>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</si>
  <si>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WEEK 1 LABOR SUBTOTAL</t>
  </si>
  <si>
    <t>WEEK 2 LABOR SUBTOTAL</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</si>
  <si>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</si>
  <si>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</si>
  <si>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</si>
  <si>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</si>
  <si>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</si>
  <si>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</si>
  <si>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</si>
  <si>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</si>
  <si>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</si>
  <si>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</si>
  <si>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</si>
  <si>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</si>
  <si>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</si>
  <si>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Calibration Service Rates</t>
  </si>
  <si>
    <t>Fixed Cost</t>
  </si>
  <si>
    <t>Est Hours</t>
  </si>
  <si>
    <t>Included In Cost</t>
  </si>
  <si>
    <t>8am-4pm</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</si>
  <si>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</si>
  <si>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</si>
  <si>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</si>
  <si>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</si>
  <si>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</si>
  <si>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</si>
  <si>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</si>
  <si>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</si>
  <si>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</si>
  <si>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</si>
  <si>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</si>
  <si>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</si>
  <si>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</si>
  <si>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</si>
  <si>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</si>
  <si>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</si>
  <si>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</si>
  <si>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</si>
  <si>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</si>
  <si>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</si>
  <si>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</si>
  <si>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</si>
  <si>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</si>
  <si>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</si>
  <si>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</si>
  <si>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</si>
  <si>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</si>
  <si>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</si>
  <si>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</si>
  <si>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</si>
  <si>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</si>
  <si>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</si>
  <si>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</si>
  <si>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</si>
  <si>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$4,550 / Machine</t>
  </si>
  <si>
    <t>$2,275 / Machine</t>
  </si>
  <si>
    <t>$5,850 / Machine</t>
  </si>
  <si>
    <r>
      <t>·</t>
    </r>
    <r>
      <rPr>
        <sz val="7"/>
        <color theme="1"/>
        <rFont val="Times New Roman"/>
        <family val="1"/>
      </rPr>
      <t xml:space="preserve">        </t>
    </r>
    <r>
      <rPr>
        <sz val="8"/>
        <color theme="1"/>
        <rFont val="Cambria"/>
        <family val="1"/>
      </rPr>
      <t>$975.00 discount</t>
    </r>
  </si>
  <si>
    <t>$3,900 / Machine</t>
  </si>
  <si>
    <r>
      <t>·</t>
    </r>
    <r>
      <rPr>
        <sz val="7"/>
        <color theme="1"/>
        <rFont val="Times New Roman"/>
        <family val="1"/>
      </rPr>
      <t xml:space="preserve">        </t>
    </r>
    <r>
      <rPr>
        <sz val="8"/>
        <color theme="1"/>
        <rFont val="Cambria"/>
        <family val="1"/>
      </rPr>
      <t>Additional $1.950.00 discount</t>
    </r>
  </si>
  <si>
    <t>QUOTE #:20260122</t>
  </si>
  <si>
    <t>FSE 1</t>
  </si>
  <si>
    <t>FSE 2</t>
  </si>
  <si>
    <t>Galloway</t>
  </si>
  <si>
    <t>Neenah, WI</t>
  </si>
  <si>
    <t>Calibration &amp; PM of SF40 and rebuild PM on two SF44 Fresh fillers</t>
  </si>
  <si>
    <t>Chicago</t>
  </si>
  <si>
    <t>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</si>
</sst>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
      <sz val="8"/>
      <color theme="3" tint="0.249977111117893"/>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0" fontId="8" fillId="5" borderId="2" xfId="0" applyFont="1" applyFill="1" applyBorder="1" applyAlignment="1">
      <alignment horizontal="center"/>
    </xf>
    <xf numFmtId="8" fontId="8" fillId="5" borderId="2" xfId="0" applyNumberFormat="1" applyFont="1" applyFill="1" applyBorder="1" applyAlignment="1">
      <alignment horizontal="center"/>
    </xf>
    <xf numFmtId="0" fontId="6" fillId="0" borderId="0" xfId="0" applyFont="1" applyAlignment="1">
      <alignment vertical="center"/>
    </xf>
    <xf numFmtId="0" fontId="3" fillId="0" borderId="0" xfId="0" applyFont="1" applyAlignment="1">
      <alignment horizontal="left" vertical="center"/>
    </xf>
    <xf numFmtId="0" fontId="0" fillId="0" borderId="11" xfId="0" applyBorder="1"/>
    <xf numFmtId="0" fontId="7" fillId="0" borderId="12" xfId="0" applyFont="1" applyBorder="1" applyAlignment="1">
      <alignment vertical="center"/>
    </xf>
    <xf numFmtId="8" fontId="3" fillId="4" borderId="4" xfId="0" applyNumberFormat="1" applyFont="1" applyFill="1" applyBorder="1" applyAlignment="1">
      <alignment horizontal="center" vertical="center"/>
    </xf>
    <xf numFmtId="8" fontId="7"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8" fillId="0" borderId="16" xfId="0" applyFont="1" applyBorder="1" applyAlignment="1">
      <alignment horizontal="center" vertical="center" wrapText="1"/>
    </xf>
    <xf numFmtId="0" fontId="20" fillId="0" borderId="17" xfId="0" applyFont="1" applyBorder="1" applyAlignment="1">
      <alignment horizontal="left" vertical="center" wrapText="1" indent="2"/>
    </xf>
    <xf numFmtId="0" fontId="20" fillId="0" borderId="17" xfId="0" applyFont="1" applyBorder="1" applyAlignment="1">
      <alignment horizontal="left" vertical="center" indent="2"/>
    </xf>
    <xf numFmtId="0" fontId="0" fillId="0" borderId="18" xfId="0" applyBorder="1" applyAlignment="1">
      <alignment vertical="top" wrapText="1"/>
    </xf>
    <xf numFmtId="0" fontId="20" fillId="0" borderId="19" xfId="0" applyFont="1" applyBorder="1" applyAlignment="1">
      <alignment horizontal="left" vertical="center" wrapText="1" indent="2"/>
    </xf>
    <xf numFmtId="0" fontId="22" fillId="0" borderId="16" xfId="0" applyFont="1" applyBorder="1" applyAlignment="1">
      <alignment vertical="center" wrapText="1"/>
    </xf>
    <xf numFmtId="0" fontId="22" fillId="0" borderId="16" xfId="0" applyFont="1" applyBorder="1" applyAlignment="1">
      <alignment horizontal="center" vertical="center" wrapText="1"/>
    </xf>
    <xf numFmtId="0" fontId="22" fillId="0" borderId="18" xfId="0" applyFont="1" applyBorder="1" applyAlignment="1">
      <alignment horizontal="center" vertical="center" wrapText="1"/>
    </xf>
    <xf numFmtId="0" fontId="18" fillId="0" borderId="16" xfId="0" applyFont="1" applyBorder="1" applyAlignment="1">
      <alignment vertical="center" wrapText="1"/>
    </xf>
    <xf numFmtId="0" fontId="22"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left" vertical="center" wrapText="1" indent="2"/>
    </xf>
    <xf numFmtId="0" fontId="23" fillId="0" borderId="0" xfId="0" applyFont="1" applyAlignment="1">
      <alignment horizontal="left" vertical="center"/>
    </xf>
    <xf numFmtId="0" fontId="23"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5" fillId="0" borderId="11" xfId="0" applyFont="1" applyBorder="1" applyAlignment="1">
      <alignment wrapText="1"/>
    </xf>
    <xf numFmtId="0" fontId="3" fillId="0" borderId="11" xfId="0" applyFont="1" applyBorder="1" applyAlignment="1">
      <alignment wrapText="1"/>
    </xf>
    <xf numFmtId="0" fontId="15" fillId="5" borderId="14"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0" fillId="5" borderId="18" xfId="0" applyFill="1" applyBorder="1" applyAlignment="1">
      <alignment vertical="top" wrapText="1"/>
    </xf>
    <xf numFmtId="0" fontId="16" fillId="5" borderId="19" xfId="0" applyFont="1" applyFill="1" applyBorder="1" applyAlignment="1">
      <alignment horizontal="center" vertical="center" wrapText="1"/>
    </xf>
    <xf numFmtId="0" fontId="0" fillId="5" borderId="19" xfId="0" applyFill="1" applyBorder="1" applyAlignment="1">
      <alignment vertical="top" wrapText="1"/>
    </xf>
    <xf numFmtId="0" fontId="16" fillId="5" borderId="16" xfId="0" applyFont="1" applyFill="1" applyBorder="1" applyAlignment="1">
      <alignment vertical="center" wrapText="1"/>
    </xf>
    <xf numFmtId="0" fontId="11" fillId="5" borderId="3" xfId="0" applyFont="1" applyFill="1" applyBorder="1" applyAlignment="1">
      <alignment horizontal="center" vertical="center"/>
    </xf>
    <xf numFmtId="0" fontId="0" fillId="5" borderId="18" xfId="0" applyFill="1" applyBorder="1" applyAlignment="1">
      <alignment vertical="center" wrapText="1"/>
    </xf>
    <xf numFmtId="0" fontId="0" fillId="5" borderId="19" xfId="0" applyFill="1" applyBorder="1" applyAlignment="1">
      <alignment vertical="center" wrapText="1"/>
    </xf>
    <xf numFmtId="0" fontId="11" fillId="5" borderId="3" xfId="0" applyFont="1" applyFill="1" applyBorder="1" applyAlignment="1">
      <alignment vertical="center"/>
    </xf>
    <xf numFmtId="0" fontId="0" fillId="0" borderId="0" xfId="0" applyAlignment="1">
      <alignment horizontal="center" vertical="center" wrapText="1"/>
    </xf>
    <xf numFmtId="0" fontId="26" fillId="0" borderId="0" xfId="0" applyFont="1" applyAlignment="1">
      <alignment horizontal="left" vertical="top" wrapText="1"/>
    </xf>
    <xf numFmtId="0" fontId="8" fillId="5" borderId="3" xfId="0" applyFont="1" applyFill="1" applyBorder="1" applyAlignment="1">
      <alignment horizontal="left" vertical="center"/>
    </xf>
    <xf numFmtId="0" fontId="3" fillId="4" borderId="1" xfId="0" applyFont="1" applyFill="1" applyBorder="1" applyAlignment="1">
      <alignment horizontal="right" vertical="center"/>
    </xf>
    <xf numFmtId="0" fontId="3" fillId="4" borderId="2" xfId="0" applyFont="1" applyFill="1" applyBorder="1" applyAlignment="1">
      <alignment horizontal="right" vertical="center"/>
    </xf>
    <xf numFmtId="0" fontId="9" fillId="5" borderId="1" xfId="0" applyFont="1" applyFill="1" applyBorder="1" applyAlignment="1">
      <alignment horizontal="right" vertical="center"/>
    </xf>
    <xf numFmtId="0" fontId="9" fillId="5" borderId="2" xfId="0" applyFont="1" applyFill="1" applyBorder="1" applyAlignment="1">
      <alignment horizontal="right"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4" xfId="0" applyFont="1" applyFill="1" applyBorder="1" applyAlignment="1">
      <alignment horizontal="center"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3" fillId="4" borderId="0" xfId="0" applyFont="1" applyFill="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6" xfId="0" applyFont="1" applyFill="1" applyBorder="1" applyAlignment="1">
      <alignment horizontal="right" vertical="center"/>
    </xf>
    <xf numFmtId="0" fontId="3" fillId="4" borderId="2" xfId="0" applyFont="1" applyFill="1" applyBorder="1" applyAlignment="1">
      <alignment horizontal="center" vertical="center"/>
    </xf>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7" fillId="4" borderId="1" xfId="0" applyFont="1" applyFill="1" applyBorder="1" applyAlignment="1">
      <alignment horizontal="right" vertical="center"/>
    </xf>
    <xf numFmtId="0" fontId="7" fillId="4" borderId="2" xfId="0" applyFont="1" applyFill="1" applyBorder="1" applyAlignment="1">
      <alignment horizontal="right" vertical="center"/>
    </xf>
    <xf numFmtId="0" fontId="10" fillId="0" borderId="0" xfId="0" applyFont="1" applyAlignment="1">
      <alignment horizontal="right" vertical="center"/>
    </xf>
    <xf numFmtId="0" fontId="27"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19" fillId="0" borderId="1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8" xfId="0" applyFont="1" applyBorder="1" applyAlignment="1">
      <alignment horizontal="center" vertical="center" wrapText="1"/>
    </xf>
    <xf numFmtId="0" fontId="23" fillId="0" borderId="0" xfId="0" applyFont="1" applyAlignment="1">
      <alignment horizontal="left" vertical="center" wrapText="1"/>
    </xf>
    <xf numFmtId="0" fontId="24" fillId="0" borderId="0" xfId="0" applyFont="1" applyAlignment="1">
      <alignment horizontal="left" vertical="center" wrapText="1"/>
    </xf>
    <xf numFmtId="0" fontId="1" fillId="0" borderId="6" xfId="0" applyFont="1" applyBorder="1" applyAlignment="1" applyProtection="1">
      <alignment horizontal="center"/>
      <protection locked="0"/>
    </xf>
    <xf numFmtId="0" fontId="11" fillId="5" borderId="3" xfId="0" applyFont="1" applyFill="1" applyBorder="1" applyAlignment="1">
      <alignment horizontal="center" vertical="center"/>
    </xf>
    <xf numFmtId="165" fontId="28"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zoomScale="110" zoomScaleNormal="110" workbookViewId="0">
      <selection activeCell="R46" sqref="R46"/>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1"/>
      <c r="J1" s="61"/>
      <c r="K1" s="61"/>
      <c r="L1" s="61"/>
      <c r="M1" s="61"/>
      <c r="N1" s="61"/>
      <c r="O1" s="61"/>
    </row>
    <row r="2" spans="1:15" x14ac:dyDescent="0.25">
      <c r="I2" s="145" t="s">
        <v>100</v>
      </c>
      <c r="J2" s="145"/>
      <c r="K2" s="145"/>
      <c r="L2" s="145"/>
      <c r="M2" s="145"/>
      <c r="N2" s="145"/>
      <c r="O2" s="145"/>
    </row>
    <row r="5" spans="1:15" ht="12.95" customHeight="1" x14ac:dyDescent="0.25">
      <c r="A5" s="155" t="s">
        <v>46</v>
      </c>
      <c r="B5" s="156"/>
      <c r="C5" s="156"/>
      <c r="D5" s="156"/>
      <c r="E5" s="156"/>
      <c r="F5" s="156"/>
      <c r="G5" s="156"/>
      <c r="H5" s="156"/>
      <c r="I5" s="156"/>
      <c r="J5" s="156"/>
      <c r="K5" s="156"/>
      <c r="L5" s="156"/>
      <c r="M5" s="156"/>
      <c r="N5" s="156"/>
      <c r="O5" s="157"/>
    </row>
    <row r="6" spans="1:15" ht="5.0999999999999996" customHeight="1" x14ac:dyDescent="0.25"/>
    <row r="7" spans="1:15" ht="12.95" customHeight="1" x14ac:dyDescent="0.25">
      <c r="A7" s="158" t="s">
        <v>48</v>
      </c>
      <c r="B7" s="158"/>
      <c r="C7" s="158"/>
      <c r="D7" s="139" t="s">
        <v>103</v>
      </c>
      <c r="E7" s="139"/>
      <c r="F7" s="139"/>
      <c r="G7" s="139"/>
      <c r="H7" s="139"/>
      <c r="I7" s="159" t="s">
        <v>49</v>
      </c>
      <c r="J7" s="159"/>
      <c r="K7" s="159"/>
      <c r="L7" s="139" t="s">
        <v>104</v>
      </c>
      <c r="M7" s="139"/>
      <c r="N7" s="139"/>
      <c r="O7" s="139"/>
    </row>
    <row r="8" spans="1:15" ht="5.0999999999999996" customHeight="1" x14ac:dyDescent="0.25"/>
    <row r="9" spans="1:15" ht="12.95" customHeight="1" x14ac:dyDescent="0.25">
      <c r="A9" s="158" t="s">
        <v>47</v>
      </c>
      <c r="B9" s="158"/>
      <c r="C9" s="158"/>
      <c r="D9" s="139" t="s">
        <v>105</v>
      </c>
      <c r="E9" s="139"/>
      <c r="F9" s="139"/>
      <c r="G9" s="139"/>
      <c r="H9" s="139"/>
      <c r="I9" s="139"/>
      <c r="J9" s="139"/>
      <c r="K9" s="139"/>
      <c r="L9" s="139"/>
      <c r="M9" s="139"/>
      <c r="N9" s="139"/>
    </row>
    <row r="10" spans="1:15" ht="5.0999999999999996" customHeight="1" x14ac:dyDescent="0.25"/>
    <row r="11" spans="1:15" ht="12.95" customHeight="1" x14ac:dyDescent="0.25">
      <c r="A11" s="109" t="s">
        <v>12</v>
      </c>
      <c r="B11" s="110"/>
      <c r="C11" s="110"/>
      <c r="D11" s="110"/>
      <c r="E11" s="110"/>
      <c r="F11" s="110"/>
      <c r="G11" s="110"/>
      <c r="H11" s="110"/>
      <c r="I11" s="110"/>
      <c r="J11" s="110"/>
      <c r="K11" s="110"/>
      <c r="L11" s="110"/>
      <c r="M11" s="110"/>
      <c r="N11" s="110"/>
      <c r="O11" s="111"/>
    </row>
    <row r="12" spans="1:15" ht="12.95" customHeight="1" x14ac:dyDescent="0.25">
      <c r="A12" s="140" t="s">
        <v>13</v>
      </c>
      <c r="B12" s="141"/>
      <c r="C12" s="141"/>
      <c r="D12" s="138" t="s">
        <v>86</v>
      </c>
      <c r="E12" s="138"/>
      <c r="F12" s="138"/>
      <c r="G12" s="53"/>
      <c r="H12" s="53"/>
      <c r="I12" s="136" t="s">
        <v>42</v>
      </c>
      <c r="J12" s="136"/>
      <c r="K12" s="136"/>
      <c r="L12" s="136"/>
      <c r="M12" s="136"/>
      <c r="N12" s="136"/>
      <c r="O12" s="137"/>
    </row>
    <row r="13" spans="1:15" ht="12.95" customHeight="1" x14ac:dyDescent="0.25">
      <c r="A13" s="131" t="s">
        <v>14</v>
      </c>
      <c r="B13" s="132"/>
      <c r="C13" s="132"/>
      <c r="D13" s="116" t="s">
        <v>87</v>
      </c>
      <c r="E13" s="116"/>
      <c r="F13" s="116"/>
      <c r="G13" s="54"/>
      <c r="H13" s="54"/>
      <c r="I13" s="129" t="s">
        <v>43</v>
      </c>
      <c r="J13" s="129"/>
      <c r="K13" s="129"/>
      <c r="L13" s="129"/>
      <c r="M13" s="129"/>
      <c r="N13" s="129"/>
      <c r="O13" s="130"/>
    </row>
    <row r="14" spans="1:15" ht="12.95" customHeight="1" x14ac:dyDescent="0.25">
      <c r="A14" s="131" t="s">
        <v>15</v>
      </c>
      <c r="B14" s="132"/>
      <c r="C14" s="132"/>
      <c r="D14" s="116" t="s">
        <v>88</v>
      </c>
      <c r="E14" s="116"/>
      <c r="F14" s="116"/>
      <c r="G14" s="54"/>
      <c r="H14" s="54"/>
      <c r="I14" s="129" t="s">
        <v>16</v>
      </c>
      <c r="J14" s="129"/>
      <c r="K14" s="129"/>
      <c r="L14" s="129"/>
      <c r="M14" s="129"/>
      <c r="N14" s="129"/>
      <c r="O14" s="130"/>
    </row>
    <row r="15" spans="1:15" ht="12.95" customHeight="1" x14ac:dyDescent="0.25">
      <c r="A15" s="131" t="s">
        <v>7</v>
      </c>
      <c r="B15" s="132"/>
      <c r="C15" s="132"/>
      <c r="D15" s="116" t="s">
        <v>89</v>
      </c>
      <c r="E15" s="116"/>
      <c r="F15" s="116"/>
      <c r="G15" s="54"/>
      <c r="H15" s="54"/>
      <c r="I15" s="129" t="s">
        <v>17</v>
      </c>
      <c r="J15" s="129"/>
      <c r="K15" s="129"/>
      <c r="L15" s="129"/>
      <c r="M15" s="129"/>
      <c r="N15" s="129"/>
      <c r="O15" s="130"/>
    </row>
    <row r="16" spans="1:15" ht="12.95" customHeight="1" x14ac:dyDescent="0.25">
      <c r="A16" s="131" t="s">
        <v>18</v>
      </c>
      <c r="B16" s="132"/>
      <c r="C16" s="132"/>
      <c r="D16" s="116" t="s">
        <v>90</v>
      </c>
      <c r="E16" s="116"/>
      <c r="F16" s="116"/>
      <c r="G16" s="54"/>
      <c r="H16" s="54"/>
      <c r="I16" s="129" t="s">
        <v>19</v>
      </c>
      <c r="J16" s="129"/>
      <c r="K16" s="129"/>
      <c r="L16" s="129"/>
      <c r="M16" s="129"/>
      <c r="N16" s="129"/>
      <c r="O16" s="130"/>
    </row>
    <row r="17" spans="1:15" ht="12.95" customHeight="1" x14ac:dyDescent="0.25">
      <c r="A17" s="131" t="s">
        <v>20</v>
      </c>
      <c r="B17" s="132"/>
      <c r="C17" s="132"/>
      <c r="D17" s="116" t="s">
        <v>91</v>
      </c>
      <c r="E17" s="116"/>
      <c r="F17" s="116"/>
      <c r="G17" s="54"/>
      <c r="H17" s="54"/>
      <c r="I17" s="129" t="s">
        <v>21</v>
      </c>
      <c r="J17" s="129"/>
      <c r="K17" s="129"/>
      <c r="L17" s="129"/>
      <c r="M17" s="129"/>
      <c r="N17" s="129"/>
      <c r="O17" s="130"/>
    </row>
    <row r="18" spans="1:15" ht="12.95" customHeight="1" x14ac:dyDescent="0.25">
      <c r="A18" s="154" t="s">
        <v>22</v>
      </c>
      <c r="B18" s="119"/>
      <c r="C18" s="119"/>
      <c r="D18" s="128" t="s">
        <v>23</v>
      </c>
      <c r="E18" s="128"/>
      <c r="F18" s="128"/>
      <c r="G18" s="55"/>
      <c r="H18" s="55"/>
      <c r="I18" s="117" t="s">
        <v>24</v>
      </c>
      <c r="J18" s="117"/>
      <c r="K18" s="117"/>
      <c r="L18" s="117"/>
      <c r="M18" s="117"/>
      <c r="N18" s="117"/>
      <c r="O18" s="118"/>
    </row>
    <row r="19" spans="1:15" ht="5.0999999999999996" customHeight="1" x14ac:dyDescent="0.25"/>
    <row r="20" spans="1:15" ht="12.95" customHeight="1" x14ac:dyDescent="0.25">
      <c r="A20" s="109" t="s">
        <v>7</v>
      </c>
      <c r="B20" s="110"/>
      <c r="C20" s="110"/>
      <c r="D20" s="110"/>
      <c r="E20" s="110"/>
      <c r="F20" s="110"/>
      <c r="G20" s="110"/>
      <c r="H20" s="110"/>
      <c r="I20" s="110"/>
      <c r="J20" s="110"/>
      <c r="K20" s="110"/>
      <c r="L20" s="110"/>
      <c r="M20" s="110"/>
      <c r="N20" s="110"/>
      <c r="O20" s="111"/>
    </row>
    <row r="21" spans="1:15" ht="12.95" customHeight="1" x14ac:dyDescent="0.25">
      <c r="A21" s="48">
        <v>46083</v>
      </c>
      <c r="B21" s="49" t="s">
        <v>8</v>
      </c>
      <c r="C21" s="149" t="s">
        <v>106</v>
      </c>
      <c r="D21" s="150"/>
      <c r="E21" s="150"/>
      <c r="F21" s="150"/>
      <c r="G21" s="150"/>
      <c r="H21" s="151"/>
      <c r="I21" s="124">
        <v>6</v>
      </c>
      <c r="J21" s="125"/>
      <c r="K21" s="50" t="s">
        <v>1</v>
      </c>
      <c r="L21" s="152">
        <v>181</v>
      </c>
      <c r="M21" s="152"/>
      <c r="N21" s="50" t="s">
        <v>9</v>
      </c>
      <c r="O21" s="51">
        <f>SUM(I21*L21)</f>
        <v>1086</v>
      </c>
    </row>
    <row r="22" spans="1:15" ht="12.95" customHeight="1" x14ac:dyDescent="0.25">
      <c r="A22" s="43"/>
      <c r="B22" s="44" t="s">
        <v>10</v>
      </c>
      <c r="C22" s="146" t="str">
        <f>L7</f>
        <v>Neenah, WI</v>
      </c>
      <c r="D22" s="147"/>
      <c r="E22" s="147"/>
      <c r="F22" s="147"/>
      <c r="G22" s="147"/>
      <c r="H22" s="148"/>
      <c r="I22" s="126"/>
      <c r="J22" s="127"/>
      <c r="K22" s="45" t="s">
        <v>1</v>
      </c>
      <c r="L22" s="153">
        <v>272</v>
      </c>
      <c r="M22" s="153"/>
      <c r="N22" s="45" t="s">
        <v>9</v>
      </c>
      <c r="O22" s="46">
        <f>SUM(I22*L22)</f>
        <v>0</v>
      </c>
    </row>
    <row r="23" spans="1:15" ht="12.95" customHeight="1" x14ac:dyDescent="0.25">
      <c r="A23" s="48">
        <v>46086</v>
      </c>
      <c r="B23" s="49" t="s">
        <v>8</v>
      </c>
      <c r="C23" s="149" t="str">
        <f>C22</f>
        <v>Neenah, WI</v>
      </c>
      <c r="D23" s="150"/>
      <c r="E23" s="150"/>
      <c r="F23" s="150"/>
      <c r="G23" s="150"/>
      <c r="H23" s="151"/>
      <c r="I23" s="124">
        <v>6</v>
      </c>
      <c r="J23" s="125"/>
      <c r="K23" s="50" t="s">
        <v>1</v>
      </c>
      <c r="L23" s="152">
        <v>181</v>
      </c>
      <c r="M23" s="152"/>
      <c r="N23" s="50" t="s">
        <v>9</v>
      </c>
      <c r="O23" s="51">
        <f>SUM(I23*L23)</f>
        <v>1086</v>
      </c>
    </row>
    <row r="24" spans="1:15" ht="12.95" customHeight="1" x14ac:dyDescent="0.25">
      <c r="A24" s="47"/>
      <c r="B24" s="44" t="s">
        <v>10</v>
      </c>
      <c r="C24" s="146" t="s">
        <v>106</v>
      </c>
      <c r="D24" s="147"/>
      <c r="E24" s="147"/>
      <c r="F24" s="147"/>
      <c r="G24" s="147"/>
      <c r="H24" s="148"/>
      <c r="I24" s="126"/>
      <c r="J24" s="127"/>
      <c r="K24" s="45" t="s">
        <v>1</v>
      </c>
      <c r="L24" s="153">
        <v>272</v>
      </c>
      <c r="M24" s="153"/>
      <c r="N24" s="45" t="s">
        <v>9</v>
      </c>
      <c r="O24" s="46">
        <f>SUM(I24*L24)</f>
        <v>0</v>
      </c>
    </row>
    <row r="25" spans="1:15" ht="12.95" customHeight="1" x14ac:dyDescent="0.25">
      <c r="A25" s="11"/>
      <c r="B25" s="12"/>
      <c r="C25" s="13"/>
      <c r="D25" s="12"/>
      <c r="E25" s="14"/>
      <c r="F25" s="106" t="s">
        <v>50</v>
      </c>
      <c r="G25" s="106"/>
      <c r="H25" s="30"/>
      <c r="I25" s="120">
        <f>SUM(I21:I24)</f>
        <v>12</v>
      </c>
      <c r="J25" s="120"/>
      <c r="K25" s="106" t="s">
        <v>11</v>
      </c>
      <c r="L25" s="106"/>
      <c r="M25" s="106"/>
      <c r="N25" s="22" t="s">
        <v>9</v>
      </c>
      <c r="O25" s="52">
        <f>SUM(O21:O24)</f>
        <v>2172</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21" t="s">
        <v>101</v>
      </c>
      <c r="B27" s="122"/>
      <c r="C27" s="122"/>
      <c r="D27" s="122"/>
      <c r="E27" s="122"/>
      <c r="F27" s="122"/>
      <c r="G27" s="123"/>
      <c r="H27" s="6"/>
      <c r="I27" s="121" t="s">
        <v>102</v>
      </c>
      <c r="J27" s="122"/>
      <c r="K27" s="122"/>
      <c r="L27" s="122"/>
      <c r="M27" s="122"/>
      <c r="N27" s="122"/>
      <c r="O27" s="123"/>
    </row>
    <row r="28" spans="1:15" ht="12.95" customHeight="1" x14ac:dyDescent="0.25">
      <c r="A28" s="21">
        <v>46082</v>
      </c>
      <c r="B28" s="22" t="s">
        <v>25</v>
      </c>
      <c r="C28" s="23" t="s">
        <v>0</v>
      </c>
      <c r="D28" s="24"/>
      <c r="E28" s="25" t="s">
        <v>1</v>
      </c>
      <c r="F28" s="26">
        <v>416</v>
      </c>
      <c r="G28" s="27">
        <f t="shared" ref="G28:G39" si="0">D28*F28</f>
        <v>0</v>
      </c>
      <c r="H28" s="7"/>
      <c r="I28" s="21">
        <v>46082</v>
      </c>
      <c r="J28" s="22" t="s">
        <v>25</v>
      </c>
      <c r="K28" s="23" t="s">
        <v>0</v>
      </c>
      <c r="L28" s="24"/>
      <c r="M28" s="25" t="s">
        <v>1</v>
      </c>
      <c r="N28" s="26">
        <v>416</v>
      </c>
      <c r="O28" s="27">
        <f t="shared" ref="O28:O39" si="1">L28*N28</f>
        <v>0</v>
      </c>
    </row>
    <row r="29" spans="1:15" ht="12.95" customHeight="1" x14ac:dyDescent="0.25">
      <c r="A29" s="28">
        <f>A28+1</f>
        <v>46083</v>
      </c>
      <c r="B29" s="15" t="s">
        <v>26</v>
      </c>
      <c r="C29" s="16" t="s">
        <v>2</v>
      </c>
      <c r="D29" s="17"/>
      <c r="E29" s="18" t="s">
        <v>1</v>
      </c>
      <c r="F29" s="19">
        <v>208</v>
      </c>
      <c r="G29" s="20">
        <f t="shared" si="0"/>
        <v>0</v>
      </c>
      <c r="H29" s="7"/>
      <c r="I29" s="28">
        <f>I28+1</f>
        <v>46083</v>
      </c>
      <c r="J29" s="15" t="s">
        <v>26</v>
      </c>
      <c r="K29" s="16" t="s">
        <v>2</v>
      </c>
      <c r="L29" s="17"/>
      <c r="M29" s="18" t="s">
        <v>1</v>
      </c>
      <c r="N29" s="19">
        <v>208</v>
      </c>
      <c r="O29" s="20">
        <f t="shared" si="1"/>
        <v>0</v>
      </c>
    </row>
    <row r="30" spans="1:15" ht="12.95" customHeight="1" x14ac:dyDescent="0.25">
      <c r="A30" s="29"/>
      <c r="B30" s="22"/>
      <c r="C30" s="23" t="s">
        <v>3</v>
      </c>
      <c r="D30" s="24"/>
      <c r="E30" s="25" t="s">
        <v>1</v>
      </c>
      <c r="F30" s="26">
        <v>312</v>
      </c>
      <c r="G30" s="27">
        <f t="shared" si="0"/>
        <v>0</v>
      </c>
      <c r="H30" s="7"/>
      <c r="I30" s="29"/>
      <c r="J30" s="22"/>
      <c r="K30" s="23" t="s">
        <v>3</v>
      </c>
      <c r="L30" s="24"/>
      <c r="M30" s="25" t="s">
        <v>1</v>
      </c>
      <c r="N30" s="26">
        <v>312</v>
      </c>
      <c r="O30" s="27">
        <f t="shared" si="1"/>
        <v>0</v>
      </c>
    </row>
    <row r="31" spans="1:15" ht="12.95" customHeight="1" x14ac:dyDescent="0.25">
      <c r="A31" s="28">
        <f>A28+2</f>
        <v>46084</v>
      </c>
      <c r="B31" s="15" t="s">
        <v>27</v>
      </c>
      <c r="C31" s="16" t="s">
        <v>2</v>
      </c>
      <c r="D31" s="17" t="s">
        <v>107</v>
      </c>
      <c r="E31" s="18" t="s">
        <v>1</v>
      </c>
      <c r="F31" s="19">
        <v>208</v>
      </c>
      <c r="G31" s="20">
        <v>0</v>
      </c>
      <c r="H31" s="7"/>
      <c r="I31" s="28">
        <f>I28+2</f>
        <v>46084</v>
      </c>
      <c r="J31" s="15" t="s">
        <v>27</v>
      </c>
      <c r="K31" s="16" t="s">
        <v>2</v>
      </c>
      <c r="L31" s="17">
        <v>8</v>
      </c>
      <c r="M31" s="18" t="s">
        <v>1</v>
      </c>
      <c r="N31" s="19">
        <v>208</v>
      </c>
      <c r="O31" s="20">
        <f t="shared" si="1"/>
        <v>1664</v>
      </c>
    </row>
    <row r="32" spans="1:15" ht="12.95" customHeight="1" x14ac:dyDescent="0.25">
      <c r="A32" s="29"/>
      <c r="B32" s="22"/>
      <c r="C32" s="23" t="s">
        <v>3</v>
      </c>
      <c r="D32" s="24">
        <v>4</v>
      </c>
      <c r="E32" s="25" t="s">
        <v>1</v>
      </c>
      <c r="F32" s="26">
        <v>312</v>
      </c>
      <c r="G32" s="27">
        <f t="shared" si="0"/>
        <v>1248</v>
      </c>
      <c r="H32" s="7"/>
      <c r="I32" s="29"/>
      <c r="J32" s="22"/>
      <c r="K32" s="23" t="s">
        <v>3</v>
      </c>
      <c r="L32" s="24">
        <v>4</v>
      </c>
      <c r="M32" s="25" t="s">
        <v>1</v>
      </c>
      <c r="N32" s="26">
        <v>312</v>
      </c>
      <c r="O32" s="27">
        <f t="shared" si="1"/>
        <v>1248</v>
      </c>
    </row>
    <row r="33" spans="1:15" ht="12.95" customHeight="1" x14ac:dyDescent="0.25">
      <c r="A33" s="37">
        <f>A28+3</f>
        <v>46085</v>
      </c>
      <c r="B33" s="38" t="s">
        <v>28</v>
      </c>
      <c r="C33" s="39" t="s">
        <v>2</v>
      </c>
      <c r="D33" s="40">
        <v>8</v>
      </c>
      <c r="E33" s="18" t="s">
        <v>1</v>
      </c>
      <c r="F33" s="19">
        <v>208</v>
      </c>
      <c r="G33" s="20">
        <f t="shared" si="0"/>
        <v>1664</v>
      </c>
      <c r="H33" s="7"/>
      <c r="I33" s="37">
        <f>I28+3</f>
        <v>46085</v>
      </c>
      <c r="J33" s="38" t="s">
        <v>28</v>
      </c>
      <c r="K33" s="39" t="s">
        <v>2</v>
      </c>
      <c r="L33" s="40">
        <v>8</v>
      </c>
      <c r="M33" s="18" t="s">
        <v>1</v>
      </c>
      <c r="N33" s="19">
        <v>208</v>
      </c>
      <c r="O33" s="20">
        <f t="shared" si="1"/>
        <v>1664</v>
      </c>
    </row>
    <row r="34" spans="1:15" ht="12.95" customHeight="1" x14ac:dyDescent="0.25">
      <c r="A34" s="29"/>
      <c r="B34" s="22"/>
      <c r="C34" s="23" t="s">
        <v>3</v>
      </c>
      <c r="D34" s="24">
        <v>4</v>
      </c>
      <c r="E34" s="25" t="s">
        <v>1</v>
      </c>
      <c r="F34" s="26">
        <v>312</v>
      </c>
      <c r="G34" s="27">
        <f t="shared" si="0"/>
        <v>1248</v>
      </c>
      <c r="H34" s="7"/>
      <c r="I34" s="29"/>
      <c r="J34" s="22"/>
      <c r="K34" s="23" t="s">
        <v>3</v>
      </c>
      <c r="L34" s="24">
        <v>4</v>
      </c>
      <c r="M34" s="25" t="s">
        <v>1</v>
      </c>
      <c r="N34" s="26">
        <v>312</v>
      </c>
      <c r="O34" s="27">
        <f t="shared" si="1"/>
        <v>1248</v>
      </c>
    </row>
    <row r="35" spans="1:15" ht="12.95" customHeight="1" x14ac:dyDescent="0.25">
      <c r="A35" s="28">
        <f>A28+4</f>
        <v>46086</v>
      </c>
      <c r="B35" s="15" t="s">
        <v>29</v>
      </c>
      <c r="C35" s="16" t="s">
        <v>2</v>
      </c>
      <c r="D35" s="17">
        <v>6</v>
      </c>
      <c r="E35" s="18" t="s">
        <v>1</v>
      </c>
      <c r="F35" s="19">
        <v>208</v>
      </c>
      <c r="G35" s="20">
        <f t="shared" si="0"/>
        <v>1248</v>
      </c>
      <c r="H35" s="7"/>
      <c r="I35" s="28">
        <f>I28+4</f>
        <v>46086</v>
      </c>
      <c r="J35" s="15" t="s">
        <v>29</v>
      </c>
      <c r="K35" s="16" t="s">
        <v>2</v>
      </c>
      <c r="L35" s="17">
        <v>6</v>
      </c>
      <c r="M35" s="18" t="s">
        <v>1</v>
      </c>
      <c r="N35" s="19">
        <v>208</v>
      </c>
      <c r="O35" s="20">
        <f t="shared" si="1"/>
        <v>1248</v>
      </c>
    </row>
    <row r="36" spans="1:15" ht="12.95" customHeight="1" x14ac:dyDescent="0.25">
      <c r="A36" s="29"/>
      <c r="B36" s="22"/>
      <c r="C36" s="23" t="s">
        <v>3</v>
      </c>
      <c r="D36" s="24"/>
      <c r="E36" s="25" t="s">
        <v>1</v>
      </c>
      <c r="F36" s="26">
        <v>312</v>
      </c>
      <c r="G36" s="27">
        <f t="shared" si="0"/>
        <v>0</v>
      </c>
      <c r="H36" s="7"/>
      <c r="I36" s="29"/>
      <c r="J36" s="22"/>
      <c r="K36" s="23" t="s">
        <v>3</v>
      </c>
      <c r="L36" s="24"/>
      <c r="M36" s="25" t="s">
        <v>1</v>
      </c>
      <c r="N36" s="26">
        <v>312</v>
      </c>
      <c r="O36" s="27">
        <f t="shared" si="1"/>
        <v>0</v>
      </c>
    </row>
    <row r="37" spans="1:15" ht="12.95" customHeight="1" x14ac:dyDescent="0.25">
      <c r="A37" s="28">
        <f>A28+5</f>
        <v>46087</v>
      </c>
      <c r="B37" s="15" t="s">
        <v>30</v>
      </c>
      <c r="C37" s="16" t="s">
        <v>2</v>
      </c>
      <c r="D37" s="17"/>
      <c r="E37" s="18" t="s">
        <v>1</v>
      </c>
      <c r="F37" s="19">
        <v>208</v>
      </c>
      <c r="G37" s="20">
        <f t="shared" si="0"/>
        <v>0</v>
      </c>
      <c r="H37" s="7"/>
      <c r="I37" s="28">
        <f>I28+5</f>
        <v>46087</v>
      </c>
      <c r="J37" s="15" t="s">
        <v>30</v>
      </c>
      <c r="K37" s="16" t="s">
        <v>2</v>
      </c>
      <c r="L37" s="17"/>
      <c r="M37" s="18" t="s">
        <v>1</v>
      </c>
      <c r="N37" s="19">
        <v>208</v>
      </c>
      <c r="O37" s="20">
        <f t="shared" si="1"/>
        <v>0</v>
      </c>
    </row>
    <row r="38" spans="1:15" ht="12.95" customHeight="1" x14ac:dyDescent="0.25">
      <c r="A38" s="29"/>
      <c r="B38" s="22"/>
      <c r="C38" s="23" t="s">
        <v>3</v>
      </c>
      <c r="D38" s="24"/>
      <c r="E38" s="25" t="s">
        <v>1</v>
      </c>
      <c r="F38" s="26">
        <v>312</v>
      </c>
      <c r="G38" s="27">
        <f t="shared" si="0"/>
        <v>0</v>
      </c>
      <c r="H38" s="7"/>
      <c r="I38" s="29"/>
      <c r="J38" s="22"/>
      <c r="K38" s="23" t="s">
        <v>3</v>
      </c>
      <c r="L38" s="24"/>
      <c r="M38" s="25" t="s">
        <v>1</v>
      </c>
      <c r="N38" s="26">
        <v>312</v>
      </c>
      <c r="O38" s="27">
        <f t="shared" si="1"/>
        <v>0</v>
      </c>
    </row>
    <row r="39" spans="1:15" ht="12.95" customHeight="1" x14ac:dyDescent="0.25">
      <c r="A39" s="28">
        <f>A28+6</f>
        <v>46088</v>
      </c>
      <c r="B39" s="15" t="s">
        <v>31</v>
      </c>
      <c r="C39" s="16" t="s">
        <v>3</v>
      </c>
      <c r="D39" s="17"/>
      <c r="E39" s="18" t="s">
        <v>1</v>
      </c>
      <c r="F39" s="19">
        <v>312</v>
      </c>
      <c r="G39" s="20">
        <f t="shared" si="0"/>
        <v>0</v>
      </c>
      <c r="H39" s="7"/>
      <c r="I39" s="28">
        <f>I28+6</f>
        <v>46088</v>
      </c>
      <c r="J39" s="15" t="s">
        <v>31</v>
      </c>
      <c r="K39" s="16" t="s">
        <v>3</v>
      </c>
      <c r="L39" s="17"/>
      <c r="M39" s="18" t="s">
        <v>1</v>
      </c>
      <c r="N39" s="19">
        <v>312</v>
      </c>
      <c r="O39" s="20">
        <f t="shared" si="1"/>
        <v>0</v>
      </c>
    </row>
    <row r="40" spans="1:15" ht="12.95" customHeight="1" x14ac:dyDescent="0.25">
      <c r="A40" s="32"/>
      <c r="B40" s="119" t="s">
        <v>4</v>
      </c>
      <c r="C40" s="119"/>
      <c r="D40" s="31">
        <f>SUM(D28:D39)</f>
        <v>22</v>
      </c>
      <c r="E40" s="105" t="s">
        <v>6</v>
      </c>
      <c r="F40" s="106"/>
      <c r="G40" s="68">
        <f>SUM(G28:G39)</f>
        <v>5408</v>
      </c>
      <c r="H40" s="8"/>
      <c r="I40" s="32"/>
      <c r="J40" s="119" t="s">
        <v>5</v>
      </c>
      <c r="K40" s="119"/>
      <c r="L40" s="31">
        <f>SUM(L28:L39)</f>
        <v>30</v>
      </c>
      <c r="M40" s="106" t="s">
        <v>6</v>
      </c>
      <c r="N40" s="106"/>
      <c r="O40" s="33">
        <f>SUM(O28:O39)</f>
        <v>7072</v>
      </c>
    </row>
    <row r="41" spans="1:15" ht="5.0999999999999996" customHeight="1" x14ac:dyDescent="0.25"/>
    <row r="42" spans="1:15" ht="12.95" customHeight="1" x14ac:dyDescent="0.25">
      <c r="A42" s="109" t="s">
        <v>44</v>
      </c>
      <c r="B42" s="110"/>
      <c r="C42" s="110"/>
      <c r="D42" s="110"/>
      <c r="E42" s="110"/>
      <c r="F42" s="110"/>
      <c r="G42" s="111"/>
      <c r="H42" s="10"/>
      <c r="I42" s="109" t="s">
        <v>45</v>
      </c>
      <c r="J42" s="110"/>
      <c r="K42" s="110"/>
      <c r="L42" s="110"/>
      <c r="M42" s="110"/>
      <c r="N42" s="110"/>
      <c r="O42" s="111"/>
    </row>
    <row r="43" spans="1:15" ht="12.95" customHeight="1" x14ac:dyDescent="0.25">
      <c r="A43" s="133" t="s">
        <v>38</v>
      </c>
      <c r="B43" s="134"/>
      <c r="C43" s="34" t="s">
        <v>2</v>
      </c>
      <c r="D43" s="35"/>
      <c r="E43" s="25" t="s">
        <v>1</v>
      </c>
      <c r="F43" s="26">
        <v>208</v>
      </c>
      <c r="G43" s="67">
        <f>D43*F43</f>
        <v>0</v>
      </c>
      <c r="H43" s="9"/>
      <c r="I43" s="135" t="s">
        <v>39</v>
      </c>
      <c r="J43" s="135"/>
      <c r="K43" s="23" t="s">
        <v>2</v>
      </c>
      <c r="L43" s="58"/>
      <c r="M43" s="36" t="s">
        <v>1</v>
      </c>
      <c r="N43" s="26">
        <v>208</v>
      </c>
      <c r="O43" s="65">
        <f>L43*N43</f>
        <v>0</v>
      </c>
    </row>
    <row r="44" spans="1:15" ht="5.0999999999999996" customHeight="1" x14ac:dyDescent="0.25"/>
    <row r="45" spans="1:15" ht="12.95" customHeight="1" x14ac:dyDescent="0.25">
      <c r="A45" s="104" t="s">
        <v>22</v>
      </c>
      <c r="B45" s="104"/>
      <c r="C45" s="104"/>
      <c r="D45" s="104"/>
      <c r="E45" s="104"/>
      <c r="F45" s="104"/>
      <c r="G45" s="104"/>
      <c r="H45" s="104"/>
      <c r="I45" s="104"/>
      <c r="J45" s="104"/>
      <c r="K45" s="104"/>
      <c r="L45" s="104"/>
      <c r="M45" s="104"/>
      <c r="N45" s="104"/>
      <c r="O45" s="104"/>
    </row>
    <row r="46" spans="1:15" ht="12.95" customHeight="1" x14ac:dyDescent="0.25">
      <c r="A46" s="112" t="s">
        <v>32</v>
      </c>
      <c r="B46" s="112"/>
      <c r="C46" s="112"/>
      <c r="D46" s="112"/>
      <c r="E46" s="112"/>
      <c r="F46" s="112"/>
      <c r="G46" s="112"/>
      <c r="H46" s="112"/>
      <c r="I46" s="112"/>
      <c r="J46" s="113"/>
      <c r="K46" s="114" t="s">
        <v>33</v>
      </c>
      <c r="L46" s="115"/>
      <c r="M46" s="105"/>
      <c r="N46" s="22" t="s">
        <v>9</v>
      </c>
      <c r="O46" s="41">
        <v>2500</v>
      </c>
    </row>
    <row r="47" spans="1:15" ht="5.0999999999999996" customHeight="1" x14ac:dyDescent="0.25"/>
    <row r="48" spans="1:15" ht="12.95" customHeight="1" x14ac:dyDescent="0.25">
      <c r="A48" s="62" t="s">
        <v>51</v>
      </c>
      <c r="B48" s="102"/>
      <c r="C48" s="102"/>
      <c r="D48" s="102"/>
      <c r="E48" s="102"/>
      <c r="F48" s="102"/>
      <c r="G48" s="102"/>
      <c r="J48" s="107" t="s">
        <v>11</v>
      </c>
      <c r="K48" s="108"/>
      <c r="L48" s="108"/>
      <c r="M48" s="108"/>
      <c r="N48" s="59" t="s">
        <v>9</v>
      </c>
      <c r="O48" s="65">
        <f>O25</f>
        <v>2172</v>
      </c>
    </row>
    <row r="49" spans="1:15" ht="12.95" customHeight="1" x14ac:dyDescent="0.25">
      <c r="A49" s="103" t="s">
        <v>52</v>
      </c>
      <c r="B49" s="103"/>
      <c r="C49" s="103"/>
      <c r="D49" s="103"/>
      <c r="E49" s="103"/>
      <c r="F49" s="103"/>
      <c r="G49" s="103"/>
      <c r="H49" s="56"/>
      <c r="I49" s="57"/>
      <c r="J49" s="107" t="s">
        <v>40</v>
      </c>
      <c r="K49" s="108"/>
      <c r="L49" s="108"/>
      <c r="M49" s="108"/>
      <c r="N49" s="59" t="s">
        <v>9</v>
      </c>
      <c r="O49" s="65">
        <f>G40</f>
        <v>5408</v>
      </c>
    </row>
    <row r="50" spans="1:15" ht="12.95" customHeight="1" x14ac:dyDescent="0.25">
      <c r="A50" s="103"/>
      <c r="B50" s="103"/>
      <c r="C50" s="103"/>
      <c r="D50" s="103"/>
      <c r="E50" s="103"/>
      <c r="F50" s="103"/>
      <c r="G50" s="103"/>
      <c r="H50" s="56"/>
      <c r="I50" s="57"/>
      <c r="J50" s="107" t="s">
        <v>41</v>
      </c>
      <c r="K50" s="108"/>
      <c r="L50" s="108"/>
      <c r="M50" s="108"/>
      <c r="N50" s="59" t="s">
        <v>9</v>
      </c>
      <c r="O50" s="65">
        <f>O40</f>
        <v>7072</v>
      </c>
    </row>
    <row r="51" spans="1:15" ht="12.95" customHeight="1" x14ac:dyDescent="0.25">
      <c r="A51" s="103"/>
      <c r="B51" s="103"/>
      <c r="C51" s="103"/>
      <c r="D51" s="103"/>
      <c r="E51" s="103"/>
      <c r="F51" s="103"/>
      <c r="G51" s="103"/>
      <c r="H51" s="56"/>
      <c r="I51" s="57"/>
      <c r="J51" s="107" t="s">
        <v>33</v>
      </c>
      <c r="K51" s="108"/>
      <c r="L51" s="108"/>
      <c r="M51" s="108"/>
      <c r="N51" s="59" t="s">
        <v>9</v>
      </c>
      <c r="O51" s="65">
        <f>O46</f>
        <v>2500</v>
      </c>
    </row>
    <row r="52" spans="1:15" ht="12.95" customHeight="1" x14ac:dyDescent="0.25">
      <c r="A52" s="103"/>
      <c r="B52" s="103"/>
      <c r="C52" s="103"/>
      <c r="D52" s="103"/>
      <c r="E52" s="103"/>
      <c r="F52" s="103"/>
      <c r="G52" s="103"/>
      <c r="H52" s="56"/>
      <c r="I52" s="57"/>
      <c r="J52" s="107" t="s">
        <v>34</v>
      </c>
      <c r="K52" s="108"/>
      <c r="L52" s="108"/>
      <c r="M52" s="108"/>
      <c r="N52" s="60" t="s">
        <v>9</v>
      </c>
      <c r="O52" s="65">
        <f>G43+O43</f>
        <v>0</v>
      </c>
    </row>
    <row r="53" spans="1:15" ht="12.95" customHeight="1" x14ac:dyDescent="0.25">
      <c r="A53" s="103" t="s">
        <v>92</v>
      </c>
      <c r="B53" s="103"/>
      <c r="C53" s="103"/>
      <c r="D53" s="103"/>
      <c r="E53" s="103"/>
      <c r="F53" s="103"/>
      <c r="G53" s="103"/>
      <c r="H53" s="56"/>
      <c r="I53" s="57"/>
      <c r="J53" s="107" t="s">
        <v>35</v>
      </c>
      <c r="K53" s="108"/>
      <c r="L53" s="108"/>
      <c r="M53" s="108"/>
      <c r="N53" s="59" t="s">
        <v>9</v>
      </c>
      <c r="O53" s="65">
        <v>5850</v>
      </c>
    </row>
    <row r="54" spans="1:15" ht="12.95" customHeight="1" x14ac:dyDescent="0.25">
      <c r="A54" s="103"/>
      <c r="B54" s="103"/>
      <c r="C54" s="103"/>
      <c r="D54" s="103"/>
      <c r="E54" s="103"/>
      <c r="F54" s="103"/>
      <c r="G54" s="103"/>
      <c r="H54" s="56"/>
      <c r="I54" s="57"/>
      <c r="J54" s="107" t="s">
        <v>36</v>
      </c>
      <c r="K54" s="108"/>
      <c r="L54" s="108"/>
      <c r="M54" s="108"/>
      <c r="N54" s="59" t="s">
        <v>9</v>
      </c>
      <c r="O54" s="65">
        <v>0</v>
      </c>
    </row>
    <row r="55" spans="1:15" ht="12.95" customHeight="1" x14ac:dyDescent="0.25">
      <c r="A55" s="103"/>
      <c r="B55" s="103"/>
      <c r="C55" s="103"/>
      <c r="D55" s="103"/>
      <c r="E55" s="103"/>
      <c r="F55" s="103"/>
      <c r="G55" s="103"/>
      <c r="H55" s="56"/>
      <c r="I55" s="56"/>
      <c r="J55" s="63"/>
      <c r="K55" s="64"/>
      <c r="L55" s="142" t="s">
        <v>37</v>
      </c>
      <c r="M55" s="143"/>
      <c r="N55" s="42" t="s">
        <v>9</v>
      </c>
      <c r="O55" s="66">
        <f>SUM(O48:O54)</f>
        <v>23002</v>
      </c>
    </row>
    <row r="56" spans="1:15" ht="12.95" customHeight="1" x14ac:dyDescent="0.25">
      <c r="A56" s="103"/>
      <c r="B56" s="103"/>
      <c r="C56" s="103"/>
      <c r="D56" s="103"/>
      <c r="E56" s="103"/>
      <c r="F56" s="103"/>
      <c r="G56" s="103"/>
    </row>
    <row r="57" spans="1:15" x14ac:dyDescent="0.25">
      <c r="A57" s="103"/>
      <c r="B57" s="103"/>
      <c r="C57" s="103"/>
      <c r="D57" s="103"/>
      <c r="E57" s="103"/>
      <c r="F57" s="103"/>
      <c r="G57" s="103"/>
      <c r="J57" s="144" t="s">
        <v>53</v>
      </c>
      <c r="K57" s="144"/>
      <c r="L57" s="144"/>
      <c r="M57" s="144"/>
      <c r="N57" s="144"/>
      <c r="O57" s="176">
        <v>46044</v>
      </c>
    </row>
  </sheetData>
  <mergeCells count="71">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 ref="D9:N9"/>
    <mergeCell ref="D7:H7"/>
    <mergeCell ref="L7:O7"/>
    <mergeCell ref="A12:C12"/>
    <mergeCell ref="I16:O16"/>
    <mergeCell ref="A16:C16"/>
    <mergeCell ref="D16:F16"/>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topLeftCell="A4" zoomScaleNormal="100" workbookViewId="0">
      <selection activeCell="K36" sqref="K36"/>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69" t="s">
        <v>54</v>
      </c>
    </row>
    <row r="6" spans="1:4" ht="15.75" x14ac:dyDescent="0.25">
      <c r="A6" s="69"/>
    </row>
    <row r="7" spans="1:4" x14ac:dyDescent="0.25">
      <c r="A7" s="70" t="s">
        <v>93</v>
      </c>
    </row>
    <row r="8" spans="1:4" ht="15.75" thickBot="1" x14ac:dyDescent="0.3">
      <c r="A8" s="70"/>
    </row>
    <row r="9" spans="1:4" x14ac:dyDescent="0.25">
      <c r="A9" s="90"/>
      <c r="B9" s="91"/>
      <c r="C9" s="91"/>
      <c r="D9" s="91"/>
    </row>
    <row r="10" spans="1:4" ht="14.45" customHeight="1" x14ac:dyDescent="0.25">
      <c r="A10" s="92" t="s">
        <v>55</v>
      </c>
      <c r="B10" s="93" t="s">
        <v>56</v>
      </c>
      <c r="C10" s="93" t="s">
        <v>57</v>
      </c>
      <c r="D10" s="93" t="s">
        <v>58</v>
      </c>
    </row>
    <row r="11" spans="1:4" ht="15.75" thickBot="1" x14ac:dyDescent="0.3">
      <c r="A11" s="94"/>
      <c r="B11" s="95" t="s">
        <v>59</v>
      </c>
      <c r="C11" s="96"/>
      <c r="D11" s="96"/>
    </row>
    <row r="12" spans="1:4" ht="12.6" customHeight="1" x14ac:dyDescent="0.25">
      <c r="A12" s="71"/>
      <c r="B12" s="169" t="s">
        <v>94</v>
      </c>
      <c r="C12" s="169">
        <v>4</v>
      </c>
      <c r="D12" s="72" t="s">
        <v>60</v>
      </c>
    </row>
    <row r="13" spans="1:4" ht="12.6" customHeight="1" x14ac:dyDescent="0.25">
      <c r="A13" s="71" t="s">
        <v>61</v>
      </c>
      <c r="B13" s="170"/>
      <c r="C13" s="170"/>
      <c r="D13" s="73" t="s">
        <v>62</v>
      </c>
    </row>
    <row r="14" spans="1:4" ht="12.6" customHeight="1" thickBot="1" x14ac:dyDescent="0.3">
      <c r="A14" s="74"/>
      <c r="B14" s="171"/>
      <c r="C14" s="171"/>
      <c r="D14" s="75" t="s">
        <v>63</v>
      </c>
    </row>
    <row r="15" spans="1:4" ht="12.6" customHeight="1" x14ac:dyDescent="0.25">
      <c r="A15" s="76"/>
      <c r="B15" s="169" t="s">
        <v>95</v>
      </c>
      <c r="C15" s="169">
        <v>4</v>
      </c>
      <c r="D15" s="72" t="s">
        <v>64</v>
      </c>
    </row>
    <row r="16" spans="1:4" ht="12.6" customHeight="1" x14ac:dyDescent="0.25">
      <c r="A16" s="71" t="s">
        <v>65</v>
      </c>
      <c r="B16" s="170"/>
      <c r="C16" s="170"/>
      <c r="D16" s="72" t="s">
        <v>66</v>
      </c>
    </row>
    <row r="17" spans="1:4" ht="12.6" customHeight="1" thickBot="1" x14ac:dyDescent="0.3">
      <c r="A17" s="74"/>
      <c r="B17" s="171"/>
      <c r="C17" s="171"/>
      <c r="D17" s="75" t="s">
        <v>67</v>
      </c>
    </row>
    <row r="18" spans="1:4" x14ac:dyDescent="0.25">
      <c r="A18" s="97"/>
      <c r="B18" s="93"/>
      <c r="C18" s="93"/>
      <c r="D18" s="93"/>
    </row>
    <row r="19" spans="1:4" ht="12" customHeight="1" x14ac:dyDescent="0.25">
      <c r="A19" s="92" t="s">
        <v>68</v>
      </c>
      <c r="B19" s="93" t="s">
        <v>56</v>
      </c>
      <c r="C19" s="93" t="s">
        <v>57</v>
      </c>
      <c r="D19" s="93" t="s">
        <v>58</v>
      </c>
    </row>
    <row r="20" spans="1:4" ht="16.149999999999999" customHeight="1" thickBot="1" x14ac:dyDescent="0.3">
      <c r="A20" s="99"/>
      <c r="B20" s="95" t="s">
        <v>59</v>
      </c>
      <c r="C20" s="100"/>
      <c r="D20" s="100"/>
    </row>
    <row r="21" spans="1:4" ht="12.6" customHeight="1" x14ac:dyDescent="0.25">
      <c r="A21" s="77"/>
      <c r="B21" s="169" t="s">
        <v>96</v>
      </c>
      <c r="C21" s="169">
        <v>8</v>
      </c>
      <c r="D21" s="72" t="s">
        <v>69</v>
      </c>
    </row>
    <row r="22" spans="1:4" ht="12.6" customHeight="1" x14ac:dyDescent="0.25">
      <c r="A22" s="71" t="s">
        <v>70</v>
      </c>
      <c r="B22" s="170"/>
      <c r="C22" s="170"/>
      <c r="D22" s="72" t="s">
        <v>71</v>
      </c>
    </row>
    <row r="23" spans="1:4" ht="12.6" customHeight="1" thickBot="1" x14ac:dyDescent="0.3">
      <c r="A23" s="78"/>
      <c r="B23" s="171"/>
      <c r="C23" s="171"/>
      <c r="D23" s="75" t="s">
        <v>97</v>
      </c>
    </row>
    <row r="24" spans="1:4" ht="12.6" customHeight="1" x14ac:dyDescent="0.25">
      <c r="A24" s="71"/>
      <c r="B24" s="169" t="s">
        <v>98</v>
      </c>
      <c r="C24" s="169">
        <v>8</v>
      </c>
      <c r="D24" s="72" t="s">
        <v>69</v>
      </c>
    </row>
    <row r="25" spans="1:4" ht="13.15" customHeight="1" x14ac:dyDescent="0.25">
      <c r="A25" s="79" t="s">
        <v>72</v>
      </c>
      <c r="B25" s="170"/>
      <c r="C25" s="170"/>
      <c r="D25" s="72" t="s">
        <v>73</v>
      </c>
    </row>
    <row r="26" spans="1:4" ht="12.6" customHeight="1" thickBot="1" x14ac:dyDescent="0.3">
      <c r="A26" s="78" t="s">
        <v>74</v>
      </c>
      <c r="B26" s="171"/>
      <c r="C26" s="171"/>
      <c r="D26" s="75" t="s">
        <v>99</v>
      </c>
    </row>
    <row r="27" spans="1:4" ht="12.6" customHeight="1" x14ac:dyDescent="0.25">
      <c r="A27" s="80"/>
      <c r="B27" s="81"/>
      <c r="C27" s="81"/>
      <c r="D27" s="82"/>
    </row>
    <row r="28" spans="1:4" ht="12.6" customHeight="1" x14ac:dyDescent="0.25">
      <c r="A28" s="70"/>
    </row>
    <row r="29" spans="1:4" ht="12.6" customHeight="1" x14ac:dyDescent="0.25">
      <c r="A29" s="83" t="s">
        <v>75</v>
      </c>
    </row>
    <row r="30" spans="1:4" ht="12.6" customHeight="1" x14ac:dyDescent="0.25">
      <c r="A30" s="70"/>
    </row>
    <row r="31" spans="1:4" x14ac:dyDescent="0.25">
      <c r="A31" s="83" t="s">
        <v>76</v>
      </c>
    </row>
    <row r="32" spans="1:4" x14ac:dyDescent="0.25">
      <c r="A32" s="70"/>
    </row>
    <row r="33" spans="1:4" x14ac:dyDescent="0.25">
      <c r="A33" s="83" t="s">
        <v>77</v>
      </c>
    </row>
    <row r="34" spans="1:4" x14ac:dyDescent="0.25">
      <c r="A34" s="70"/>
    </row>
    <row r="35" spans="1:4" ht="15" customHeight="1" x14ac:dyDescent="0.25">
      <c r="A35" s="172" t="s">
        <v>78</v>
      </c>
      <c r="B35" s="172"/>
      <c r="C35" s="172"/>
      <c r="D35" s="172"/>
    </row>
    <row r="36" spans="1:4" x14ac:dyDescent="0.25">
      <c r="A36" s="173" t="s">
        <v>79</v>
      </c>
      <c r="B36" s="173"/>
      <c r="C36" s="173"/>
      <c r="D36" s="173"/>
    </row>
    <row r="37" spans="1:4" x14ac:dyDescent="0.25">
      <c r="A37" s="84"/>
      <c r="B37" s="84"/>
      <c r="C37" s="84"/>
      <c r="D37" s="84"/>
    </row>
    <row r="39" spans="1:4" x14ac:dyDescent="0.25">
      <c r="A39" s="85" t="s">
        <v>80</v>
      </c>
      <c r="B39" s="174" t="s">
        <v>103</v>
      </c>
      <c r="C39" s="174"/>
      <c r="D39" s="174"/>
    </row>
    <row r="41" spans="1:4" x14ac:dyDescent="0.25">
      <c r="A41" s="101" t="s">
        <v>81</v>
      </c>
      <c r="B41" s="175" t="s">
        <v>82</v>
      </c>
      <c r="C41" s="175"/>
      <c r="D41" s="98" t="s">
        <v>83</v>
      </c>
    </row>
    <row r="42" spans="1:4" x14ac:dyDescent="0.25">
      <c r="A42" s="86" t="s">
        <v>70</v>
      </c>
      <c r="B42" s="160">
        <v>1</v>
      </c>
      <c r="C42" s="160"/>
      <c r="D42" s="87">
        <v>5850</v>
      </c>
    </row>
    <row r="43" spans="1:4" x14ac:dyDescent="0.25">
      <c r="A43" s="161" t="s">
        <v>84</v>
      </c>
      <c r="B43" s="161"/>
      <c r="C43" s="161"/>
      <c r="D43" s="161"/>
    </row>
    <row r="44" spans="1:4" x14ac:dyDescent="0.25">
      <c r="A44" s="162"/>
      <c r="B44" s="162"/>
      <c r="C44" s="162"/>
      <c r="D44" s="162"/>
    </row>
    <row r="45" spans="1:4" x14ac:dyDescent="0.25">
      <c r="A45" s="163"/>
      <c r="B45" s="164"/>
      <c r="C45" s="164"/>
      <c r="D45" s="165"/>
    </row>
    <row r="46" spans="1:4" x14ac:dyDescent="0.25">
      <c r="A46" s="166"/>
      <c r="B46" s="167"/>
      <c r="C46" s="167"/>
      <c r="D46" s="168"/>
    </row>
    <row r="47" spans="1:4" x14ac:dyDescent="0.25">
      <c r="A47" s="88"/>
      <c r="B47" s="89" t="s">
        <v>85</v>
      </c>
      <c r="C47" s="89"/>
      <c r="D47" s="89"/>
    </row>
    <row r="48" spans="1:4" ht="14.45" customHeight="1" x14ac:dyDescent="0.25"/>
  </sheetData>
  <mergeCells count="15">
    <mergeCell ref="B12:B14"/>
    <mergeCell ref="C12:C14"/>
    <mergeCell ref="B15:B17"/>
    <mergeCell ref="C15:C17"/>
    <mergeCell ref="B21:B23"/>
    <mergeCell ref="C21:C23"/>
    <mergeCell ref="B42:C42"/>
    <mergeCell ref="A43:D44"/>
    <mergeCell ref="A45:D46"/>
    <mergeCell ref="B24:B26"/>
    <mergeCell ref="C24:C26"/>
    <mergeCell ref="A35:D35"/>
    <mergeCell ref="A36:D36"/>
    <mergeCell ref="B39:D39"/>
    <mergeCell ref="B41:C41"/>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2025-12-26T14:26:25Z</cp:lastPrinted>
  <dcterms:created xsi:type="dcterms:W3CDTF">2025-01-08T13:45:49Z</dcterms:created>
  <dcterms:modified xsi:type="dcterms:W3CDTF">2026-01-22T15:18:11Z</dcterms:modified>
</cp:coreProperties>
</file>